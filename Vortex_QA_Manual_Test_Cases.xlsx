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Manual Test Cases" sheetId="2" state="visible" r:id="rId2"/>
    <sheet xmlns:r="http://schemas.openxmlformats.org/officeDocument/2006/relationships" name="Feature &amp; Role Matrix" sheetId="3" state="visible" r:id="rId3"/>
    <sheet xmlns:r="http://schemas.openxmlformats.org/officeDocument/2006/relationships" name="Defect Log"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i val="1"/>
      <color rgb="00FFFFFF"/>
      <sz val="9"/>
    </font>
    <font>
      <name val="Calibri"/>
      <b val="1"/>
      <color rgb="00FFFFFF"/>
      <sz val="10"/>
    </font>
    <font>
      <name val="Calibri"/>
      <sz val="9"/>
    </font>
    <font>
      <name val="Calibri"/>
      <b val="1"/>
      <color rgb="001A73E8"/>
      <sz val="9"/>
    </font>
    <font>
      <name val="Calibri"/>
      <b val="1"/>
      <sz val="9"/>
    </font>
    <font>
      <name val="Calibri"/>
      <b val="1"/>
      <color rgb="001A365D"/>
      <sz val="9"/>
    </font>
    <font>
      <name val="Calibri"/>
      <b val="1"/>
      <color rgb="005F6368"/>
      <sz val="9"/>
    </font>
    <font>
      <name val="Calibri"/>
      <b val="1"/>
      <color rgb="001A73E8"/>
      <sz val="16"/>
    </font>
    <font>
      <name val="Calibri"/>
      <b val="1"/>
      <color rgb="00188038"/>
      <sz val="16"/>
    </font>
    <font>
      <name val="Calibri"/>
      <b val="1"/>
      <color rgb="00D93025"/>
      <sz val="16"/>
    </font>
    <font>
      <name val="Calibri"/>
      <b val="1"/>
      <color rgb="00B45309"/>
      <sz val="16"/>
    </font>
    <font>
      <name val="Calibri"/>
      <b val="1"/>
      <color rgb="005F6368"/>
      <sz val="16"/>
    </font>
    <font>
      <name val="Calibri"/>
      <b val="1"/>
      <color rgb="001A365D"/>
      <sz val="16"/>
    </font>
    <font>
      <name val="Calibri"/>
      <b val="1"/>
      <color rgb="00FFFFFF"/>
      <sz val="9"/>
    </font>
    <font>
      <name val="Calibri"/>
      <b val="1"/>
      <color rgb="00188038"/>
      <sz val="9"/>
    </font>
  </fonts>
  <fills count="12">
    <fill>
      <patternFill/>
    </fill>
    <fill>
      <patternFill patternType="gray125"/>
    </fill>
    <fill>
      <patternFill patternType="solid">
        <fgColor rgb="001A365D"/>
        <bgColor rgb="001A365D"/>
      </patternFill>
    </fill>
    <fill>
      <patternFill patternType="solid">
        <fgColor rgb="001A73E8"/>
        <bgColor rgb="001A73E8"/>
      </patternFill>
    </fill>
    <fill>
      <patternFill patternType="solid">
        <fgColor rgb="00FFFFFF"/>
        <bgColor rgb="00FFFFFF"/>
      </patternFill>
    </fill>
    <fill>
      <patternFill patternType="solid">
        <fgColor rgb="00F8F9FA"/>
        <bgColor rgb="00F8F9FA"/>
      </patternFill>
    </fill>
    <fill>
      <patternFill patternType="solid">
        <fgColor rgb="00E8F0FE"/>
        <bgColor rgb="00E8F0FE"/>
      </patternFill>
    </fill>
    <fill>
      <patternFill patternType="solid">
        <fgColor rgb="00DCFCE7"/>
        <bgColor rgb="00DCFCE7"/>
      </patternFill>
    </fill>
    <fill>
      <patternFill patternType="solid">
        <fgColor rgb="00FEE2E2"/>
        <bgColor rgb="00FEE2E2"/>
      </patternFill>
    </fill>
    <fill>
      <patternFill patternType="solid">
        <fgColor rgb="00FEF3C7"/>
        <bgColor rgb="00FEF3C7"/>
      </patternFill>
    </fill>
    <fill>
      <patternFill patternType="solid">
        <fgColor rgb="00F1F3F4"/>
        <bgColor rgb="00F1F3F4"/>
      </patternFill>
    </fill>
    <fill>
      <patternFill patternType="solid">
        <fgColor rgb="00E2E8F0"/>
        <bgColor rgb="00E2E8F0"/>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7" fillId="0" borderId="0" pivotButton="0" quotePrefix="0" xfId="0"/>
    <xf numFmtId="0" fontId="4" fillId="0" borderId="0" pivotButton="0" quotePrefix="0" xfId="0"/>
    <xf numFmtId="0" fontId="3" fillId="2" borderId="0" applyAlignment="1" pivotButton="0" quotePrefix="0" xfId="0">
      <alignment horizontal="left"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10" borderId="1" applyAlignment="1" pivotButton="0" quotePrefix="0" xfId="0">
      <alignment horizontal="center" vertical="center"/>
    </xf>
    <xf numFmtId="0" fontId="8" fillId="11" borderId="1" applyAlignment="1" pivotButton="0" quotePrefix="0" xfId="0">
      <alignment horizontal="center" vertical="center"/>
    </xf>
    <xf numFmtId="0" fontId="9" fillId="6" borderId="1" applyAlignment="1" pivotButton="0" quotePrefix="0" xfId="0">
      <alignment horizontal="center" vertical="center"/>
    </xf>
    <xf numFmtId="0" fontId="10" fillId="7" borderId="1" applyAlignment="1" pivotButton="0" quotePrefix="0" xfId="0">
      <alignment horizontal="center" vertical="center"/>
    </xf>
    <xf numFmtId="0" fontId="11" fillId="8" borderId="1" applyAlignment="1" pivotButton="0" quotePrefix="0" xfId="0">
      <alignment horizontal="center" vertical="center"/>
    </xf>
    <xf numFmtId="0" fontId="12" fillId="9" borderId="1" applyAlignment="1" pivotButton="0" quotePrefix="0" xfId="0">
      <alignment horizontal="center" vertical="center"/>
    </xf>
    <xf numFmtId="0" fontId="13" fillId="10" borderId="1" applyAlignment="1" pivotButton="0" quotePrefix="0" xfId="0">
      <alignment horizontal="center" vertical="center"/>
    </xf>
    <xf numFmtId="164" fontId="14" fillId="11" borderId="1" applyAlignment="1" pivotButton="0" quotePrefix="0" xfId="0">
      <alignment horizontal="center" vertical="center"/>
    </xf>
    <xf numFmtId="0" fontId="15" fillId="3" borderId="1" applyAlignment="1" pivotButton="0" quotePrefix="0" xfId="0">
      <alignment horizontal="center"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164" fontId="4" fillId="5" borderId="1"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0" fontId="3" fillId="2"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left" vertical="center"/>
    </xf>
    <xf numFmtId="0" fontId="4" fillId="4" borderId="1" applyAlignment="1" pivotButton="0" quotePrefix="0" xfId="0">
      <alignment horizontal="left" vertical="top" wrapText="1"/>
    </xf>
    <xf numFmtId="0" fontId="5" fillId="5" borderId="1" applyAlignment="1" pivotButton="0" quotePrefix="0" xfId="0">
      <alignment horizontal="center" vertical="center"/>
    </xf>
    <xf numFmtId="0" fontId="6" fillId="5" borderId="1" applyAlignment="1" pivotButton="0" quotePrefix="0" xfId="0">
      <alignment horizontal="left" vertical="center"/>
    </xf>
    <xf numFmtId="0" fontId="4" fillId="5" borderId="1" applyAlignment="1" pivotButton="0" quotePrefix="0" xfId="0">
      <alignment horizontal="left" vertical="top" wrapText="1"/>
    </xf>
    <xf numFmtId="0" fontId="16" fillId="5" borderId="1" applyAlignment="1" pivotButton="0" quotePrefix="0" xfId="0">
      <alignment horizontal="center" vertical="center"/>
    </xf>
    <xf numFmtId="0" fontId="4" fillId="5" borderId="1" applyAlignment="1" pivotButton="0" quotePrefix="0" xfId="0">
      <alignment horizontal="left" vertical="center" wrapText="1"/>
    </xf>
    <xf numFmtId="0" fontId="16" fillId="4" borderId="1" applyAlignment="1" pivotButton="0" quotePrefix="0" xfId="0">
      <alignment horizontal="center" vertical="center"/>
    </xf>
    <xf numFmtId="0" fontId="4" fillId="4" borderId="1" applyAlignment="1" pivotButton="0" quotePrefix="0" xfId="0">
      <alignment horizontal="left" vertical="center" wrapText="1"/>
    </xf>
    <xf numFmtId="0" fontId="15" fillId="2" borderId="1" applyAlignment="1" pivotButton="0" quotePrefix="0" xfId="0">
      <alignment horizontal="center" vertical="center"/>
    </xf>
    <xf numFmtId="0" fontId="4" fillId="4" borderId="1" pivotButton="0" quotePrefix="0" xfId="0"/>
    <xf numFmtId="0" fontId="4" fillId="5" borderId="1" pivotButton="0" quotePrefix="0" xfId="0"/>
  </cellXfs>
  <cellStyles count="1">
    <cellStyle name="Normal" xfId="0" builtinId="0" hidden="0"/>
  </cellStyles>
  <dxfs count="4">
    <dxf>
      <font>
        <b val="1"/>
        <color rgb="0015803D"/>
      </font>
      <fill>
        <patternFill patternType="solid">
          <fgColor rgb="00DCFCE7"/>
          <bgColor rgb="00DCFCE7"/>
        </patternFill>
      </fill>
    </dxf>
    <dxf>
      <font>
        <b val="1"/>
        <color rgb="00B91C1C"/>
      </font>
      <fill>
        <patternFill patternType="solid">
          <fgColor rgb="00FEE2E2"/>
          <bgColor rgb="00FEE2E2"/>
        </patternFill>
      </fill>
    </dxf>
    <dxf>
      <font>
        <b val="1"/>
        <color rgb="00B45309"/>
      </font>
      <fill>
        <patternFill patternType="solid">
          <fgColor rgb="00FEF3C7"/>
          <bgColor rgb="00FEF3C7"/>
        </patternFill>
      </fill>
    </dxf>
    <dxf>
      <font>
        <i val="1"/>
        <color rgb="006B7280"/>
      </font>
      <fill>
        <patternFill patternType="solid">
          <fgColor rgb="00F3F4F6"/>
          <bgColor rgb="00F3F4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4" customWidth="1" min="1" max="1"/>
    <col width="24" customWidth="1" min="2" max="2"/>
    <col width="14" customWidth="1" min="3" max="3"/>
    <col width="22" customWidth="1" min="4" max="4"/>
    <col width="18" customWidth="1" min="5" max="5"/>
    <col width="18" customWidth="1" min="6" max="6"/>
    <col width="18" customWidth="1" min="7" max="7"/>
  </cols>
  <sheetData>
    <row r="1">
      <c r="A1" s="1" t="inlineStr">
        <is>
          <t>VORTEX ENTERPRISE GATEWAY - QA TEST EXECUTION DASHBOARD</t>
        </is>
      </c>
    </row>
    <row r="2"/>
    <row r="3">
      <c r="A3" s="2" t="inlineStr">
        <is>
          <t>Automated Metrics Rollup &amp; Quality Sign-Off Tracker  |  Generated for Manual QA Team</t>
        </is>
      </c>
    </row>
    <row r="5" ht="20" customHeight="1">
      <c r="A5" s="3" t="inlineStr">
        <is>
          <t>Application Name:</t>
        </is>
      </c>
      <c r="B5" s="4" t="inlineStr">
        <is>
          <t>Vortex Payment Gateway &amp; Conference Portal</t>
        </is>
      </c>
      <c r="D5" s="3" t="inlineStr">
        <is>
          <t>Test Execution Window:</t>
        </is>
      </c>
      <c r="E5" s="4" t="inlineStr">
        <is>
          <t>Release Candidate v2.4</t>
        </is>
      </c>
    </row>
    <row r="6" ht="20" customHeight="1">
      <c r="A6" s="3" t="inlineStr">
        <is>
          <t>Target Environment:</t>
        </is>
      </c>
      <c r="B6" s="4" t="inlineStr">
        <is>
          <t>http://localhost:8080/vortex</t>
        </is>
      </c>
      <c r="D6" s="3" t="inlineStr">
        <is>
          <t>Lead QA Tester:</t>
        </is>
      </c>
      <c r="E6" s="4" t="inlineStr">
        <is>
          <t>Assigned QA Engineer</t>
        </is>
      </c>
    </row>
    <row r="7" ht="20" customHeight="1">
      <c r="A7" s="3" t="inlineStr">
        <is>
          <t>Database Engine:</t>
        </is>
      </c>
      <c r="B7" s="4" t="inlineStr">
        <is>
          <t>MySQL 8.0 (payvortex)</t>
        </is>
      </c>
      <c r="D7" s="3" t="inlineStr">
        <is>
          <t>Server Environment:</t>
        </is>
      </c>
      <c r="E7" s="4" t="inlineStr">
        <is>
          <t>PHP 8.2 Built-in Server / Apache</t>
        </is>
      </c>
    </row>
    <row r="8" ht="20" customHeight="1">
      <c r="A8" s="3" t="inlineStr">
        <is>
          <t>Admin URL:</t>
        </is>
      </c>
      <c r="B8" s="4" t="inlineStr">
        <is>
          <t>http://localhost:8080/vortex/admin/login.php</t>
        </is>
      </c>
      <c r="D8" s="3" t="inlineStr">
        <is>
          <t>Admin Credentials:</t>
        </is>
      </c>
      <c r="E8" s="4" t="inlineStr">
        <is>
          <t>admin / admin@123 (Super Admin)</t>
        </is>
      </c>
    </row>
    <row r="9" ht="20" customHeight="1">
      <c r="A9" s="3" t="inlineStr">
        <is>
          <t>Merchant Portal URL:</t>
        </is>
      </c>
      <c r="B9" s="4" t="inlineStr">
        <is>
          <t>http://localhost:8080/vortex/portal/login.php</t>
        </is>
      </c>
      <c r="D9" s="3" t="inlineStr">
        <is>
          <t>Public Registration URL:</t>
        </is>
      </c>
      <c r="E9" s="4" t="inlineStr">
        <is>
          <t>http://localhost:8080/registration.html</t>
        </is>
      </c>
    </row>
    <row r="11" ht="24" customHeight="1">
      <c r="A11" s="5" t="inlineStr">
        <is>
          <t>TEST EXECUTION PROGRESS SUMMARY (DYNAMIC FORMULAS)</t>
        </is>
      </c>
    </row>
    <row r="12" ht="20" customHeight="1">
      <c r="A12" s="6" t="inlineStr">
        <is>
          <t>Total Test Cases</t>
        </is>
      </c>
      <c r="B12" s="7" t="inlineStr">
        <is>
          <t>Passed</t>
        </is>
      </c>
      <c r="C12" s="8" t="inlineStr">
        <is>
          <t>Failed</t>
        </is>
      </c>
      <c r="D12" s="9" t="inlineStr">
        <is>
          <t>Blocked</t>
        </is>
      </c>
      <c r="E12" s="10" t="inlineStr">
        <is>
          <t>Not Run</t>
        </is>
      </c>
      <c r="F12" s="11" t="inlineStr">
        <is>
          <t>Pass Rate (%)</t>
        </is>
      </c>
    </row>
    <row r="13" ht="36" customHeight="1">
      <c r="A13" s="12">
        <f>COUNTA('Manual Test Cases'!A5:A100)</f>
        <v/>
      </c>
      <c r="B13" s="13">
        <f>COUNTIF('Manual Test Cases'!I5:I100, "Pass")</f>
        <v/>
      </c>
      <c r="C13" s="14">
        <f>COUNTIF('Manual Test Cases'!I5:I100, "Fail")</f>
        <v/>
      </c>
      <c r="D13" s="15">
        <f>COUNTIF('Manual Test Cases'!I5:I100, "Blocked")</f>
        <v/>
      </c>
      <c r="E13" s="16">
        <f>COUNTIF('Manual Test Cases'!I5:I100, "Not Run")</f>
        <v/>
      </c>
      <c r="F13" s="17">
        <f>IF(A13&gt;0, B13/A13, 0)</f>
        <v/>
      </c>
    </row>
    <row r="16" ht="24" customHeight="1">
      <c r="A16" s="5" t="inlineStr">
        <is>
          <t>TEST EXECUTION PROGRESS BY FEATURE MODULE</t>
        </is>
      </c>
    </row>
    <row r="17" ht="22" customHeight="1">
      <c r="A17" s="18" t="inlineStr">
        <is>
          <t>Module Name</t>
        </is>
      </c>
      <c r="B17" s="18" t="inlineStr">
        <is>
          <t>Total</t>
        </is>
      </c>
      <c r="C17" s="18" t="inlineStr">
        <is>
          <t>Passed</t>
        </is>
      </c>
      <c r="D17" s="18" t="inlineStr">
        <is>
          <t>Failed</t>
        </is>
      </c>
      <c r="E17" s="18" t="inlineStr">
        <is>
          <t>Blocked</t>
        </is>
      </c>
      <c r="F17" s="18" t="inlineStr">
        <is>
          <t>Not Run</t>
        </is>
      </c>
      <c r="G17" s="18" t="inlineStr">
        <is>
          <t>Completion %</t>
        </is>
      </c>
    </row>
    <row r="18" ht="20" customHeight="1">
      <c r="A18" s="19" t="inlineStr">
        <is>
          <t>Admin Authentication</t>
        </is>
      </c>
      <c r="B18" s="20">
        <f>COUNTIF('Manual Test Cases'!:00, A18)</f>
        <v/>
      </c>
      <c r="C18" s="20">
        <f>COUNTIFS('Manual Test Cases'!:00, A18, 'Manual Test Cases'!:00, "Pass")</f>
        <v/>
      </c>
      <c r="D18" s="20">
        <f>COUNTIFS('Manual Test Cases'!:00, A18, 'Manual Test Cases'!:00, "Fail")</f>
        <v/>
      </c>
      <c r="E18" s="20">
        <f>COUNTIFS('Manual Test Cases'!:00, A18, 'Manual Test Cases'!:00, "Blocked")</f>
        <v/>
      </c>
      <c r="F18" s="20">
        <f>COUNTIFS('Manual Test Cases'!:00, A18, 'Manual Test Cases'!:00, "Not Run")</f>
        <v/>
      </c>
      <c r="G18" s="21">
        <f>IF(B18&gt;0, (C18+D18+E18)/B18, 0)</f>
        <v/>
      </c>
    </row>
    <row r="19" ht="20" customHeight="1">
      <c r="A19" s="22" t="inlineStr">
        <is>
          <t>RBAC &amp; Permissions</t>
        </is>
      </c>
      <c r="B19" s="23">
        <f>COUNTIF('Manual Test Cases'!:00, A19)</f>
        <v/>
      </c>
      <c r="C19" s="23">
        <f>COUNTIFS('Manual Test Cases'!:00, A19, 'Manual Test Cases'!:00, "Pass")</f>
        <v/>
      </c>
      <c r="D19" s="23">
        <f>COUNTIFS('Manual Test Cases'!:00, A19, 'Manual Test Cases'!:00, "Fail")</f>
        <v/>
      </c>
      <c r="E19" s="23">
        <f>COUNTIFS('Manual Test Cases'!:00, A19, 'Manual Test Cases'!:00, "Blocked")</f>
        <v/>
      </c>
      <c r="F19" s="23">
        <f>COUNTIFS('Manual Test Cases'!:00, A19, 'Manual Test Cases'!:00, "Not Run")</f>
        <v/>
      </c>
      <c r="G19" s="24">
        <f>IF(B19&gt;0, (C19+D19+E19)/B19, 0)</f>
        <v/>
      </c>
    </row>
    <row r="20" ht="20" customHeight="1">
      <c r="A20" s="19" t="inlineStr">
        <is>
          <t>Google Dark Mode</t>
        </is>
      </c>
      <c r="B20" s="20">
        <f>COUNTIF('Manual Test Cases'!:00, A20)</f>
        <v/>
      </c>
      <c r="C20" s="20">
        <f>COUNTIFS('Manual Test Cases'!:00, A20, 'Manual Test Cases'!:00, "Pass")</f>
        <v/>
      </c>
      <c r="D20" s="20">
        <f>COUNTIFS('Manual Test Cases'!:00, A20, 'Manual Test Cases'!:00, "Fail")</f>
        <v/>
      </c>
      <c r="E20" s="20">
        <f>COUNTIFS('Manual Test Cases'!:00, A20, 'Manual Test Cases'!:00, "Blocked")</f>
        <v/>
      </c>
      <c r="F20" s="20">
        <f>COUNTIFS('Manual Test Cases'!:00, A20, 'Manual Test Cases'!:00, "Not Run")</f>
        <v/>
      </c>
      <c r="G20" s="21">
        <f>IF(B20&gt;0, (C20+D20+E20)/B20, 0)</f>
        <v/>
      </c>
    </row>
    <row r="21" ht="20" customHeight="1">
      <c r="A21" s="22" t="inlineStr">
        <is>
          <t>Notification Center</t>
        </is>
      </c>
      <c r="B21" s="23">
        <f>COUNTIF('Manual Test Cases'!:00, A21)</f>
        <v/>
      </c>
      <c r="C21" s="23">
        <f>COUNTIFS('Manual Test Cases'!:00, A21, 'Manual Test Cases'!:00, "Pass")</f>
        <v/>
      </c>
      <c r="D21" s="23">
        <f>COUNTIFS('Manual Test Cases'!:00, A21, 'Manual Test Cases'!:00, "Fail")</f>
        <v/>
      </c>
      <c r="E21" s="23">
        <f>COUNTIFS('Manual Test Cases'!:00, A21, 'Manual Test Cases'!:00, "Blocked")</f>
        <v/>
      </c>
      <c r="F21" s="23">
        <f>COUNTIFS('Manual Test Cases'!:00, A21, 'Manual Test Cases'!:00, "Not Run")</f>
        <v/>
      </c>
      <c r="G21" s="24">
        <f>IF(B21&gt;0, (C21+D21+E21)/B21, 0)</f>
        <v/>
      </c>
    </row>
    <row r="22" ht="20" customHeight="1">
      <c r="A22" s="19" t="inlineStr">
        <is>
          <t>Global Search</t>
        </is>
      </c>
      <c r="B22" s="20">
        <f>COUNTIF('Manual Test Cases'!:00, A22)</f>
        <v/>
      </c>
      <c r="C22" s="20">
        <f>COUNTIFS('Manual Test Cases'!:00, A22, 'Manual Test Cases'!:00, "Pass")</f>
        <v/>
      </c>
      <c r="D22" s="20">
        <f>COUNTIFS('Manual Test Cases'!:00, A22, 'Manual Test Cases'!:00, "Fail")</f>
        <v/>
      </c>
      <c r="E22" s="20">
        <f>COUNTIFS('Manual Test Cases'!:00, A22, 'Manual Test Cases'!:00, "Blocked")</f>
        <v/>
      </c>
      <c r="F22" s="20">
        <f>COUNTIFS('Manual Test Cases'!:00, A22, 'Manual Test Cases'!:00, "Not Run")</f>
        <v/>
      </c>
      <c r="G22" s="21">
        <f>IF(B22&gt;0, (C22+D22+E22)/B22, 0)</f>
        <v/>
      </c>
    </row>
    <row r="23" ht="20" customHeight="1">
      <c r="A23" s="22" t="inlineStr">
        <is>
          <t>Client Onboarding</t>
        </is>
      </c>
      <c r="B23" s="23">
        <f>COUNTIF('Manual Test Cases'!:00, A23)</f>
        <v/>
      </c>
      <c r="C23" s="23">
        <f>COUNTIFS('Manual Test Cases'!:00, A23, 'Manual Test Cases'!:00, "Pass")</f>
        <v/>
      </c>
      <c r="D23" s="23">
        <f>COUNTIFS('Manual Test Cases'!:00, A23, 'Manual Test Cases'!:00, "Fail")</f>
        <v/>
      </c>
      <c r="E23" s="23">
        <f>COUNTIFS('Manual Test Cases'!:00, A23, 'Manual Test Cases'!:00, "Blocked")</f>
        <v/>
      </c>
      <c r="F23" s="23">
        <f>COUNTIFS('Manual Test Cases'!:00, A23, 'Manual Test Cases'!:00, "Not Run")</f>
        <v/>
      </c>
      <c r="G23" s="24">
        <f>IF(B23&gt;0, (C23+D23+E23)/B23, 0)</f>
        <v/>
      </c>
    </row>
    <row r="24" ht="20" customHeight="1">
      <c r="A24" s="19" t="inlineStr">
        <is>
          <t>Transactions &amp; Refunds</t>
        </is>
      </c>
      <c r="B24" s="20">
        <f>COUNTIF('Manual Test Cases'!:00, A24)</f>
        <v/>
      </c>
      <c r="C24" s="20">
        <f>COUNTIFS('Manual Test Cases'!:00, A24, 'Manual Test Cases'!:00, "Pass")</f>
        <v/>
      </c>
      <c r="D24" s="20">
        <f>COUNTIFS('Manual Test Cases'!:00, A24, 'Manual Test Cases'!:00, "Fail")</f>
        <v/>
      </c>
      <c r="E24" s="20">
        <f>COUNTIFS('Manual Test Cases'!:00, A24, 'Manual Test Cases'!:00, "Blocked")</f>
        <v/>
      </c>
      <c r="F24" s="20">
        <f>COUNTIFS('Manual Test Cases'!:00, A24, 'Manual Test Cases'!:00, "Not Run")</f>
        <v/>
      </c>
      <c r="G24" s="21">
        <f>IF(B24&gt;0, (C24+D24+E24)/B24, 0)</f>
        <v/>
      </c>
    </row>
    <row r="25" ht="20" customHeight="1">
      <c r="A25" s="22" t="inlineStr">
        <is>
          <t>Merchant Portal</t>
        </is>
      </c>
      <c r="B25" s="23">
        <f>COUNTIF('Manual Test Cases'!:00, A25)</f>
        <v/>
      </c>
      <c r="C25" s="23">
        <f>COUNTIFS('Manual Test Cases'!:00, A25, 'Manual Test Cases'!:00, "Pass")</f>
        <v/>
      </c>
      <c r="D25" s="23">
        <f>COUNTIFS('Manual Test Cases'!:00, A25, 'Manual Test Cases'!:00, "Fail")</f>
        <v/>
      </c>
      <c r="E25" s="23">
        <f>COUNTIFS('Manual Test Cases'!:00, A25, 'Manual Test Cases'!:00, "Blocked")</f>
        <v/>
      </c>
      <c r="F25" s="23">
        <f>COUNTIFS('Manual Test Cases'!:00, A25, 'Manual Test Cases'!:00, "Not Run")</f>
        <v/>
      </c>
      <c r="G25" s="24">
        <f>IF(B25&gt;0, (C25+D25+E25)/B25, 0)</f>
        <v/>
      </c>
    </row>
    <row r="26" ht="20" customHeight="1">
      <c r="A26" s="19" t="inlineStr">
        <is>
          <t>Audit Trail</t>
        </is>
      </c>
      <c r="B26" s="20">
        <f>COUNTIF('Manual Test Cases'!:00, A26)</f>
        <v/>
      </c>
      <c r="C26" s="20">
        <f>COUNTIFS('Manual Test Cases'!:00, A26, 'Manual Test Cases'!:00, "Pass")</f>
        <v/>
      </c>
      <c r="D26" s="20">
        <f>COUNTIFS('Manual Test Cases'!:00, A26, 'Manual Test Cases'!:00, "Fail")</f>
        <v/>
      </c>
      <c r="E26" s="20">
        <f>COUNTIFS('Manual Test Cases'!:00, A26, 'Manual Test Cases'!:00, "Blocked")</f>
        <v/>
      </c>
      <c r="F26" s="20">
        <f>COUNTIFS('Manual Test Cases'!:00, A26, 'Manual Test Cases'!:00, "Not Run")</f>
        <v/>
      </c>
      <c r="G26" s="21">
        <f>IF(B26&gt;0, (C26+D26+E26)/B26, 0)</f>
        <v/>
      </c>
    </row>
    <row r="27" ht="20" customHeight="1">
      <c r="A27" s="22" t="inlineStr">
        <is>
          <t>Conference Registration</t>
        </is>
      </c>
      <c r="B27" s="23">
        <f>COUNTIF('Manual Test Cases'!:00, A27)</f>
        <v/>
      </c>
      <c r="C27" s="23">
        <f>COUNTIFS('Manual Test Cases'!:00, A27, 'Manual Test Cases'!:00, "Pass")</f>
        <v/>
      </c>
      <c r="D27" s="23">
        <f>COUNTIFS('Manual Test Cases'!:00, A27, 'Manual Test Cases'!:00, "Fail")</f>
        <v/>
      </c>
      <c r="E27" s="23">
        <f>COUNTIFS('Manual Test Cases'!:00, A27, 'Manual Test Cases'!:00, "Blocked")</f>
        <v/>
      </c>
      <c r="F27" s="23">
        <f>COUNTIFS('Manual Test Cases'!:00, A27, 'Manual Test Cases'!:00, "Not Run")</f>
        <v/>
      </c>
      <c r="G27" s="24">
        <f>IF(B27&gt;0, (C27+D27+E27)/B27, 0)</f>
        <v/>
      </c>
    </row>
    <row r="28" ht="20" customHeight="1">
      <c r="A28" s="19" t="inlineStr">
        <is>
          <t>Events Management</t>
        </is>
      </c>
      <c r="B28" s="20">
        <f>COUNTIF('Manual Test Cases'!:00, A28)</f>
        <v/>
      </c>
      <c r="C28" s="20">
        <f>COUNTIFS('Manual Test Cases'!:00, A28, 'Manual Test Cases'!:00, "Pass")</f>
        <v/>
      </c>
      <c r="D28" s="20">
        <f>COUNTIFS('Manual Test Cases'!:00, A28, 'Manual Test Cases'!:00, "Fail")</f>
        <v/>
      </c>
      <c r="E28" s="20">
        <f>COUNTIFS('Manual Test Cases'!:00, A28, 'Manual Test Cases'!:00, "Blocked")</f>
        <v/>
      </c>
      <c r="F28" s="20">
        <f>COUNTIFS('Manual Test Cases'!:00, A28, 'Manual Test Cases'!:00, "Not Run")</f>
        <v/>
      </c>
      <c r="G28" s="21">
        <f>IF(B28&gt;0, (C28+D28+E28)/B28, 0)</f>
        <v/>
      </c>
    </row>
    <row r="29" ht="20" customHeight="1">
      <c r="A29" s="19" t="inlineStr">
        <is>
          <t>Webhook Retry Queue</t>
        </is>
      </c>
      <c r="B29" s="20">
        <f>COUNTIF('Manual Test Cases'!:50, A29)</f>
        <v/>
      </c>
      <c r="C29" s="20">
        <f>COUNTIFS('Manual Test Cases'!:50, A29, 'Manual Test Cases'!:50, "Pass")</f>
        <v/>
      </c>
      <c r="D29" s="20">
        <f>COUNTIFS('Manual Test Cases'!:50, A29, 'Manual Test Cases'!:50, "Fail")</f>
        <v/>
      </c>
      <c r="E29" s="20">
        <f>COUNTIFS('Manual Test Cases'!:50, A29, 'Manual Test Cases'!:50, "Blocked")</f>
        <v/>
      </c>
      <c r="F29" s="20">
        <f>COUNTIFS('Manual Test Cases'!:50, A29, 'Manual Test Cases'!:50, "Not Run")</f>
        <v/>
      </c>
      <c r="G29" s="21">
        <f>IF(B29&gt;0, (C29+D29+E29)/B29, 0)</f>
        <v/>
      </c>
    </row>
    <row r="31" ht="24" customHeight="1">
      <c r="A31" s="5" t="inlineStr">
        <is>
          <t>QA TESTER OPERATING INSTRUCTIONS &amp; DEFECT SEVERITY GUIDELINES</t>
        </is>
      </c>
    </row>
    <row r="32" ht="20" customHeight="1">
      <c r="A32" s="3" t="inlineStr">
        <is>
          <t>Step 1: Test Execution</t>
        </is>
      </c>
      <c r="B32" s="4" t="inlineStr">
        <is>
          <t>Mark execution status for each test case in the 'Manual Test Cases' tab as 'Pass', 'Fail', or 'Blocked' using the dropdown.</t>
        </is>
      </c>
    </row>
    <row r="33" ht="20" customHeight="1">
      <c r="A33" s="3" t="inlineStr">
        <is>
          <t>Step 2: Defect Logging</t>
        </is>
      </c>
      <c r="B33" s="4" t="inlineStr">
        <is>
          <t>For any test case marked 'Fail', log the complete issue under the 'Defect Log' sheet and link the Test ID (e.g. TC-AUTH-02).</t>
        </is>
      </c>
    </row>
    <row r="34" ht="20" customHeight="1">
      <c r="A34" s="3" t="inlineStr">
        <is>
          <t>Step 3: Severity: Blocker</t>
        </is>
      </c>
      <c r="B34" s="4" t="inlineStr">
        <is>
          <t>System crash, database corruption, security bypass, or complete inability to process payments / login.</t>
        </is>
      </c>
    </row>
    <row r="35" ht="20" customHeight="1">
      <c r="A35" s="3" t="inlineStr">
        <is>
          <t>Step 4: Severity: Critical</t>
        </is>
      </c>
      <c r="B35" s="4" t="inlineStr">
        <is>
          <t>Core feature failure without workaround (e.g. refund fails, search returns blank, webhook signature rejects valid ping).</t>
        </is>
      </c>
    </row>
    <row r="36" ht="20" customHeight="1">
      <c r="A36" s="3" t="inlineStr">
        <is>
          <t>Step 5: Severity: Major</t>
        </is>
      </c>
      <c r="B36" s="4" t="inlineStr">
        <is>
          <t>Significant feature defect with indirect workaround (e.g. filter fails under specific date format, theme toggle lag).</t>
        </is>
      </c>
    </row>
    <row r="37" ht="20" customHeight="1">
      <c r="A37" s="3" t="inlineStr">
        <is>
          <t>Step 6: Severity: Minor</t>
        </is>
      </c>
      <c r="B37" s="4" t="inlineStr">
        <is>
          <t>Visual layout inconsistency, cosmetic border issue, missing tooltip, or spelling discrepancy.</t>
        </is>
      </c>
    </row>
  </sheetData>
  <mergeCells count="11">
    <mergeCell ref="B34:G34"/>
    <mergeCell ref="A1:G2"/>
    <mergeCell ref="B36:G36"/>
    <mergeCell ref="A31:G31"/>
    <mergeCell ref="A3:G3"/>
    <mergeCell ref="B37:G37"/>
    <mergeCell ref="B32:G32"/>
    <mergeCell ref="B35:G35"/>
    <mergeCell ref="A16:G16"/>
    <mergeCell ref="A11:G11"/>
    <mergeCell ref="B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3"/>
  <sheetViews>
    <sheetView workbookViewId="0">
      <pane ySplit="4" topLeftCell="A5" activePane="bottomLeft" state="frozen"/>
      <selection pane="bottomLeft" activeCell="A1" sqref="A1"/>
    </sheetView>
  </sheetViews>
  <sheetFormatPr baseColWidth="8" defaultRowHeight="15"/>
  <cols>
    <col width="14" customWidth="1" min="1" max="1"/>
    <col width="22" customWidth="1" min="2" max="2"/>
    <col width="32" customWidth="1" min="3" max="3"/>
    <col width="12" customWidth="1" min="4" max="4"/>
    <col width="26" customWidth="1" min="5" max="5"/>
    <col width="38" customWidth="1" min="6" max="6"/>
    <col width="24" customWidth="1" min="7" max="7"/>
    <col width="38" customWidth="1" min="8" max="8"/>
    <col width="13" customWidth="1" min="9" max="9"/>
    <col width="30" customWidth="1" min="10" max="10"/>
    <col width="14" customWidth="1" min="11" max="11"/>
    <col width="24" customWidth="1" min="12" max="12"/>
  </cols>
  <sheetData>
    <row r="1">
      <c r="A1" s="1" t="inlineStr">
        <is>
          <t>VORTEX PAYMENT GATEWAY &amp; PORTAL - COMPREHENSIVE MANUAL TEST CASES</t>
        </is>
      </c>
    </row>
    <row r="2"/>
    <row r="3">
      <c r="A3" s="2" t="inlineStr">
        <is>
          <t>Total Scenarios: 79  |  Target Environment: http://localhost:8080/vortex  |  Role Coverage: Super Admin, Ops, Finance, Auditor, Merchant</t>
        </is>
      </c>
    </row>
    <row r="4" ht="28" customHeight="1">
      <c r="A4" s="25" t="inlineStr">
        <is>
          <t>Test ID</t>
        </is>
      </c>
      <c r="B4" s="25" t="inlineStr">
        <is>
          <t>Module / Area</t>
        </is>
      </c>
      <c r="C4" s="25" t="inlineStr">
        <is>
          <t>Test Scenario / Title</t>
        </is>
      </c>
      <c r="D4" s="25" t="inlineStr">
        <is>
          <t>Priority</t>
        </is>
      </c>
      <c r="E4" s="25" t="inlineStr">
        <is>
          <t>Pre-conditions</t>
        </is>
      </c>
      <c r="F4" s="25" t="inlineStr">
        <is>
          <t>Step-by-Step Test Steps</t>
        </is>
      </c>
      <c r="G4" s="25" t="inlineStr">
        <is>
          <t>Test Data / Input Values</t>
        </is>
      </c>
      <c r="H4" s="25" t="inlineStr">
        <is>
          <t>Expected Result</t>
        </is>
      </c>
      <c r="I4" s="25" t="inlineStr">
        <is>
          <t>Status</t>
        </is>
      </c>
      <c r="J4" s="25" t="inlineStr">
        <is>
          <t>Actual Result / Findings</t>
        </is>
      </c>
      <c r="K4" s="25" t="inlineStr">
        <is>
          <t>Bug / Defect ID</t>
        </is>
      </c>
      <c r="L4" s="25" t="inlineStr">
        <is>
          <t>Tester Notes</t>
        </is>
      </c>
    </row>
    <row r="5" ht="68" customHeight="1">
      <c r="A5" s="26" t="inlineStr">
        <is>
          <t>TC-AUTH-01</t>
        </is>
      </c>
      <c r="B5" s="27" t="inlineStr">
        <is>
          <t>Admin Authentication</t>
        </is>
      </c>
      <c r="C5" s="28" t="inlineStr">
        <is>
          <t>Admin Login with valid credentials</t>
        </is>
      </c>
      <c r="D5" s="23" t="inlineStr">
        <is>
          <t>Critical</t>
        </is>
      </c>
      <c r="E5" s="28" t="inlineStr">
        <is>
          <t>Admin user exists in database (`admin`). Browser at /vortex/admin/login.php.</t>
        </is>
      </c>
      <c r="F5" s="28" t="inlineStr">
        <is>
          <t>1. Open http://localhost:8080/vortex/admin/login.php in browser.
2. Enter Username: 'admin'.
3. Enter Password: 'admin@123'.
4. Click 'Sign In' button.</t>
        </is>
      </c>
      <c r="G5" s="28" t="inlineStr">
        <is>
          <t>Username: admin
Password: admin@123</t>
        </is>
      </c>
      <c r="H5" s="28" t="inlineStr">
        <is>
          <t>Login succeeds without delay. Session regenerated. User is redirected to /vortex/admin/dashboard.php. Topbar displays admin avatar, full name ('Vortex Administrator') and role badge.</t>
        </is>
      </c>
      <c r="I5" s="23" t="inlineStr">
        <is>
          <t>Not Run</t>
        </is>
      </c>
      <c r="J5" s="28" t="inlineStr"/>
      <c r="K5" s="23" t="inlineStr"/>
      <c r="L5" s="28" t="inlineStr"/>
    </row>
    <row r="6" ht="68" customHeight="1">
      <c r="A6" s="29" t="inlineStr">
        <is>
          <t>TC-AUTH-02</t>
        </is>
      </c>
      <c r="B6" s="30" t="inlineStr">
        <is>
          <t>Admin Authentication</t>
        </is>
      </c>
      <c r="C6" s="31" t="inlineStr">
        <is>
          <t>Admin Login with incorrect password (Brute-Force deterrence)</t>
        </is>
      </c>
      <c r="D6" s="20" t="inlineStr">
        <is>
          <t>High</t>
        </is>
      </c>
      <c r="E6" s="31" t="inlineStr">
        <is>
          <t>Browser at /vortex/admin/login.php.</t>
        </is>
      </c>
      <c r="F6" s="31" t="inlineStr">
        <is>
          <t>1. Open login page.
2. Enter Username: 'admin'.
3. Enter Password: 'wrongpassword999'.
4. Click 'Sign In' button.</t>
        </is>
      </c>
      <c r="G6" s="31" t="inlineStr">
        <is>
          <t>Username: admin
Password: wrongpassword999</t>
        </is>
      </c>
      <c r="H6" s="31" t="inlineStr">
        <is>
          <t>Login is rejected after ~1-second timing-safe delay. Error banner appears: 'Invalid username or password.'. User stays on login page.</t>
        </is>
      </c>
      <c r="I6" s="20" t="inlineStr">
        <is>
          <t>Not Run</t>
        </is>
      </c>
      <c r="J6" s="31" t="inlineStr"/>
      <c r="K6" s="20" t="inlineStr"/>
      <c r="L6" s="31" t="inlineStr"/>
    </row>
    <row r="7" ht="68" customHeight="1">
      <c r="A7" s="26" t="inlineStr">
        <is>
          <t>TC-AUTH-03</t>
        </is>
      </c>
      <c r="B7" s="27" t="inlineStr">
        <is>
          <t>Admin Authentication</t>
        </is>
      </c>
      <c r="C7" s="28" t="inlineStr">
        <is>
          <t>Empty credentials submission validation</t>
        </is>
      </c>
      <c r="D7" s="23" t="inlineStr">
        <is>
          <t>Medium</t>
        </is>
      </c>
      <c r="E7" s="28" t="inlineStr">
        <is>
          <t>Browser at /vortex/admin/login.php.</t>
        </is>
      </c>
      <c r="F7" s="28" t="inlineStr">
        <is>
          <t>1. Leave Username and Password inputs blank.
2. Click 'Sign In' button (bypass HTML5 required if needed).</t>
        </is>
      </c>
      <c r="G7" s="28" t="inlineStr">
        <is>
          <t>Username: ''
Password: ''</t>
        </is>
      </c>
      <c r="H7" s="28" t="inlineStr">
        <is>
          <t>Validation blocks submission or displays error: 'Username and password are required.'. No session is created.</t>
        </is>
      </c>
      <c r="I7" s="23" t="inlineStr">
        <is>
          <t>Not Run</t>
        </is>
      </c>
      <c r="J7" s="28" t="inlineStr"/>
      <c r="K7" s="23" t="inlineStr"/>
      <c r="L7" s="28" t="inlineStr"/>
    </row>
    <row r="8" ht="68" customHeight="1">
      <c r="A8" s="29" t="inlineStr">
        <is>
          <t>TC-AUTH-04</t>
        </is>
      </c>
      <c r="B8" s="30" t="inlineStr">
        <is>
          <t>Admin Authentication</t>
        </is>
      </c>
      <c r="C8" s="31" t="inlineStr">
        <is>
          <t>Session persistence &amp; auto-redirect of logged-in admin</t>
        </is>
      </c>
      <c r="D8" s="20" t="inlineStr">
        <is>
          <t>Medium</t>
        </is>
      </c>
      <c r="E8" s="31" t="inlineStr">
        <is>
          <t>Admin is already signed in.</t>
        </is>
      </c>
      <c r="F8" s="31" t="inlineStr">
        <is>
          <t>1. While signed in, navigate directly to http://localhost:8080/vortex/admin/login.php.</t>
        </is>
      </c>
      <c r="G8" s="31" t="inlineStr">
        <is>
          <t>Active session: vortex_admin_id=1</t>
        </is>
      </c>
      <c r="H8" s="31" t="inlineStr">
        <is>
          <t>System recognizes existing active session and immediately redirects back to dashboard.php without displaying the login form.</t>
        </is>
      </c>
      <c r="I8" s="20" t="inlineStr">
        <is>
          <t>Not Run</t>
        </is>
      </c>
      <c r="J8" s="31" t="inlineStr"/>
      <c r="K8" s="20" t="inlineStr"/>
      <c r="L8" s="31" t="inlineStr"/>
    </row>
    <row r="9" ht="68" customHeight="1">
      <c r="A9" s="26" t="inlineStr">
        <is>
          <t>TC-AUTH-05</t>
        </is>
      </c>
      <c r="B9" s="27" t="inlineStr">
        <is>
          <t>Admin Authentication</t>
        </is>
      </c>
      <c r="C9" s="28" t="inlineStr">
        <is>
          <t>Unauthenticated guard on protected admin routes</t>
        </is>
      </c>
      <c r="D9" s="23" t="inlineStr">
        <is>
          <t>Critical</t>
        </is>
      </c>
      <c r="E9" s="28" t="inlineStr">
        <is>
          <t>Browser in Incognito / no active session.</t>
        </is>
      </c>
      <c r="F9" s="28" t="inlineStr">
        <is>
          <t>1. Directly open http://localhost:8080/vortex/admin/dashboard.php.
2. Directly open http://localhost:8080/vortex/admin/payments/list_payments.php.
3. Directly open http://localhost:8080/vortex/admin/notifications.php.</t>
        </is>
      </c>
      <c r="G9" s="28" t="inlineStr">
        <is>
          <t>HTTP GET without cookies</t>
        </is>
      </c>
      <c r="H9" s="28" t="inlineStr">
        <is>
          <t>All requests are intercepted by Auth Guard (RBAC/header) and redirected (HTTP 302) to /vortex/admin/login.php. No sensitive dashboard data is leaked.</t>
        </is>
      </c>
      <c r="I9" s="23" t="inlineStr">
        <is>
          <t>Not Run</t>
        </is>
      </c>
      <c r="J9" s="28" t="inlineStr"/>
      <c r="K9" s="23" t="inlineStr"/>
      <c r="L9" s="28" t="inlineStr"/>
    </row>
    <row r="10" ht="68" customHeight="1">
      <c r="A10" s="29" t="inlineStr">
        <is>
          <t>TC-AUTH-06</t>
        </is>
      </c>
      <c r="B10" s="30" t="inlineStr">
        <is>
          <t>Admin Authentication</t>
        </is>
      </c>
      <c r="C10" s="31" t="inlineStr">
        <is>
          <t>Admin Logout &amp; complete session destruction</t>
        </is>
      </c>
      <c r="D10" s="20" t="inlineStr">
        <is>
          <t>High</t>
        </is>
      </c>
      <c r="E10" s="31" t="inlineStr">
        <is>
          <t>Admin is logged in on dashboard.</t>
        </is>
      </c>
      <c r="F10" s="31" t="inlineStr">
        <is>
          <t>1. Click the Logout icon button in top navigation bar.
2. Confirm the logout alert prompt ('Sign out of Vortex Admin?').</t>
        </is>
      </c>
      <c r="G10" s="31" t="inlineStr">
        <is>
          <t>User confirmation: Yes</t>
        </is>
      </c>
      <c r="H10" s="31" t="inlineStr">
        <is>
          <t>Session cookie is destroyed, PHP session unset. Redirected to /vortex/admin/login.php?logged_out=1. Success banner displays: 'You have been securely logged out.'. Back button does not reveal authenticated pages.</t>
        </is>
      </c>
      <c r="I10" s="20" t="inlineStr">
        <is>
          <t>Not Run</t>
        </is>
      </c>
      <c r="J10" s="31" t="inlineStr"/>
      <c r="K10" s="20" t="inlineStr"/>
      <c r="L10" s="31" t="inlineStr"/>
    </row>
    <row r="11" ht="68" customHeight="1">
      <c r="A11" s="26" t="inlineStr">
        <is>
          <t>TC-RBAC-01</t>
        </is>
      </c>
      <c r="B11" s="27" t="inlineStr">
        <is>
          <t>RBAC &amp; Permissions</t>
        </is>
      </c>
      <c r="C11" s="28" t="inlineStr">
        <is>
          <t>Super Administrator full privileges verification</t>
        </is>
      </c>
      <c r="D11" s="23" t="inlineStr">
        <is>
          <t>Critical</t>
        </is>
      </c>
      <c r="E11" s="28" t="inlineStr">
        <is>
          <t>Logged in as Super Admin (`admin`).</t>
        </is>
      </c>
      <c r="F11" s="28" t="inlineStr">
        <is>
          <t>1. Verify topbar displays '⚡ SUPER ADMIN' badge.
2. Check sidebar items: Overview, Global Search, Transactions, API Clients, Events, Admin Profile, Notifications, Audit Trail, Merchant Portal.
3. Verify 'New Event' button is visible in sidebar.</t>
        </is>
      </c>
      <c r="G11" s="28" t="inlineStr">
        <is>
          <t>Role: Super Administrator</t>
        </is>
      </c>
      <c r="H11" s="28" t="inlineStr">
        <is>
          <t>All menu items, creation buttons, refund action buttons, client onboarding wizard, and audit trail are fully accessible without restriction.</t>
        </is>
      </c>
      <c r="I11" s="23" t="inlineStr">
        <is>
          <t>Not Run</t>
        </is>
      </c>
      <c r="J11" s="28" t="inlineStr"/>
      <c r="K11" s="23" t="inlineStr"/>
      <c r="L11" s="28" t="inlineStr"/>
    </row>
    <row r="12" ht="68" customHeight="1">
      <c r="A12" s="29" t="inlineStr">
        <is>
          <t>TC-RBAC-02</t>
        </is>
      </c>
      <c r="B12" s="30" t="inlineStr">
        <is>
          <t>RBAC &amp; Permissions</t>
        </is>
      </c>
      <c r="C12" s="31" t="inlineStr">
        <is>
          <t>Operations Admin role restrictions (No Refund, No Audit)</t>
        </is>
      </c>
      <c r="D12" s="20" t="inlineStr">
        <is>
          <t>High</t>
        </is>
      </c>
      <c r="E12" s="31" t="inlineStr">
        <is>
          <t>Operations Admin account created in database (`role = 'Operations Admin'`).</t>
        </is>
      </c>
      <c r="F12" s="31" t="inlineStr">
        <is>
          <t>1. Sign in as Operations Admin.
2. Verify sidebar shows: Events, API Clients, Overview, Transactions.
3. Verify Audit Trail link is HIDDEN.
4. Open transaction details page and check if 'Process Refund' button is HIDDEN.</t>
        </is>
      </c>
      <c r="G12" s="31" t="inlineStr">
        <is>
          <t>Role: Operations Admin</t>
        </is>
      </c>
      <c r="H12" s="31" t="inlineStr">
        <is>
          <t>Operations Admin can manage events and clients, but CANNOT see the Audit Trail or issue payment refunds. Direct URL access to audit_logs.php is forbidden.</t>
        </is>
      </c>
      <c r="I12" s="20" t="inlineStr">
        <is>
          <t>Not Run</t>
        </is>
      </c>
      <c r="J12" s="31" t="inlineStr"/>
      <c r="K12" s="20" t="inlineStr"/>
      <c r="L12" s="31" t="inlineStr"/>
    </row>
    <row r="13" ht="68" customHeight="1">
      <c r="A13" s="26" t="inlineStr">
        <is>
          <t>TC-RBAC-03</t>
        </is>
      </c>
      <c r="B13" s="27" t="inlineStr">
        <is>
          <t>RBAC &amp; Permissions</t>
        </is>
      </c>
      <c r="C13" s="28" t="inlineStr">
        <is>
          <t>Finance Officer role restrictions (Refunds allowed, No Event creation)</t>
        </is>
      </c>
      <c r="D13" s="23" t="inlineStr">
        <is>
          <t>High</t>
        </is>
      </c>
      <c r="E13" s="28" t="inlineStr">
        <is>
          <t>Finance Officer account created (`role = 'Finance Officer'`).</t>
        </is>
      </c>
      <c r="F13" s="28" t="inlineStr">
        <is>
          <t>1. Sign in as Finance Officer.
2. Check sidebar: 'New Event' button is HIDDEN.
3. Navigate to Transactions list and open a settled payment.
4. Verify 'Process Refund' button is VISIBLE and functional.</t>
        </is>
      </c>
      <c r="G13" s="28" t="inlineStr">
        <is>
          <t>Role: Finance Officer</t>
        </is>
      </c>
      <c r="H13" s="28" t="inlineStr">
        <is>
          <t>Finance Officer has full financial permissions (view transactions, issue refunds), but event and API client creation are restricted.</t>
        </is>
      </c>
      <c r="I13" s="23" t="inlineStr">
        <is>
          <t>Not Run</t>
        </is>
      </c>
      <c r="J13" s="28" t="inlineStr"/>
      <c r="K13" s="23" t="inlineStr"/>
      <c r="L13" s="28" t="inlineStr"/>
    </row>
    <row r="14" ht="68" customHeight="1">
      <c r="A14" s="29" t="inlineStr">
        <is>
          <t>TC-RBAC-04</t>
        </is>
      </c>
      <c r="B14" s="30" t="inlineStr">
        <is>
          <t>RBAC &amp; Permissions</t>
        </is>
      </c>
      <c r="C14" s="31" t="inlineStr">
        <is>
          <t>Support Auditor read-only role enforcement</t>
        </is>
      </c>
      <c r="D14" s="20" t="inlineStr">
        <is>
          <t>Medium</t>
        </is>
      </c>
      <c r="E14" s="31" t="inlineStr">
        <is>
          <t>Support Auditor account created (`role = 'Support Auditor'`).</t>
        </is>
      </c>
      <c r="F14" s="31" t="inlineStr">
        <is>
          <t>1. Sign in as Support Auditor.
2. Verify all action buttons (New Event, Add Client, Process Refund, Edit) are hidden.
3. Verify Audit Trail and Transactions are read-only.</t>
        </is>
      </c>
      <c r="G14" s="31" t="inlineStr">
        <is>
          <t>Role: Support Auditor</t>
        </is>
      </c>
      <c r="H14" s="31" t="inlineStr">
        <is>
          <t>System permits read-only access. Any attempt to POST modifications returns HTTP 403 / Access Denied.</t>
        </is>
      </c>
      <c r="I14" s="20" t="inlineStr">
        <is>
          <t>Not Run</t>
        </is>
      </c>
      <c r="J14" s="31" t="inlineStr"/>
      <c r="K14" s="20" t="inlineStr"/>
      <c r="L14" s="31" t="inlineStr"/>
    </row>
    <row r="15" ht="68" customHeight="1">
      <c r="A15" s="26" t="inlineStr">
        <is>
          <t>TC-THEME-01</t>
        </is>
      </c>
      <c r="B15" s="27" t="inlineStr">
        <is>
          <t>Google Dark Mode</t>
        </is>
      </c>
      <c r="C15" s="28" t="inlineStr">
        <is>
          <t>Topbar Theme Toggle instant switch (Light &lt;-&gt; Dark)</t>
        </is>
      </c>
      <c r="D15" s="23" t="inlineStr">
        <is>
          <t>High</t>
        </is>
      </c>
      <c r="E15" s="28" t="inlineStr">
        <is>
          <t>Logged in to admin dashboard in Light mode.</t>
        </is>
      </c>
      <c r="F15" s="28" t="inlineStr">
        <is>
          <t>1. Locate theme toggle button (sun/moon icon) in topbar.
2. Click the toggle button.
3. Observe background, topbar, sidebar, and cards.
4. Click toggle button again.</t>
        </is>
      </c>
      <c r="G15" s="28" t="inlineStr">
        <is>
          <t>Click #themeToggleBtn</t>
        </is>
      </c>
      <c r="H15" s="28" t="inlineStr">
        <is>
          <t>On first click: [data-theme='dark'] is applied instantly. Canvas turns to Google Dark #202124, surface turns to #292a2d, elevated cards to #303134. Sun icon is displayed. On second click: reverts to Light mode cleanly.</t>
        </is>
      </c>
      <c r="I15" s="23" t="inlineStr">
        <is>
          <t>Not Run</t>
        </is>
      </c>
      <c r="J15" s="28" t="inlineStr"/>
      <c r="K15" s="23" t="inlineStr"/>
      <c r="L15" s="28" t="inlineStr"/>
    </row>
    <row r="16" ht="68" customHeight="1">
      <c r="A16" s="29" t="inlineStr">
        <is>
          <t>TC-THEME-02</t>
        </is>
      </c>
      <c r="B16" s="30" t="inlineStr">
        <is>
          <t>Google Dark Mode</t>
        </is>
      </c>
      <c r="C16" s="31" t="inlineStr">
        <is>
          <t>Anti-FOUC (Flash of Unstyled Content) test on reload</t>
        </is>
      </c>
      <c r="D16" s="20" t="inlineStr">
        <is>
          <t>Medium</t>
        </is>
      </c>
      <c r="E16" s="31" t="inlineStr">
        <is>
          <t>Admin set to Dark mode.</t>
        </is>
      </c>
      <c r="F16" s="31" t="inlineStr">
        <is>
          <t>1. Set theme to Dark mode.
2. Perform a hard page reload (Ctrl+Shift+R / Cmd+Shift+R).
3. Observe page render behavior.</t>
        </is>
      </c>
      <c r="G16" s="31" t="inlineStr">
        <is>
          <t>Theme: Dark, Hard refresh</t>
        </is>
      </c>
      <c r="H16" s="31" t="inlineStr">
        <is>
          <t>Immediate flash-free render: Dark mode is applied before DOM paint via synchronous head script. No blinding white flash occurs during page load.</t>
        </is>
      </c>
      <c r="I16" s="20" t="inlineStr">
        <is>
          <t>Not Run</t>
        </is>
      </c>
      <c r="J16" s="31" t="inlineStr"/>
      <c r="K16" s="20" t="inlineStr"/>
      <c r="L16" s="31" t="inlineStr"/>
    </row>
    <row r="17" ht="68" customHeight="1">
      <c r="A17" s="26" t="inlineStr">
        <is>
          <t>TC-THEME-03</t>
        </is>
      </c>
      <c r="B17" s="27" t="inlineStr">
        <is>
          <t>Google Dark Mode</t>
        </is>
      </c>
      <c r="C17" s="28" t="inlineStr">
        <is>
          <t>Theme persistence across multi-page navigation</t>
        </is>
      </c>
      <c r="D17" s="23" t="inlineStr">
        <is>
          <t>Medium</t>
        </is>
      </c>
      <c r="E17" s="28" t="inlineStr">
        <is>
          <t>Admin in Dark mode.</t>
        </is>
      </c>
      <c r="F17" s="28" t="inlineStr">
        <is>
          <t>1. Navigate from Overview to Global Search.
2. Navigate to API Clients.
3. Navigate to Notifications.
4. Navigate to Audit Trail.</t>
        </is>
      </c>
      <c r="G17" s="28" t="inlineStr">
        <is>
          <t>Navigation across admin subdirs</t>
        </is>
      </c>
      <c r="H17" s="28" t="inlineStr">
        <is>
          <t>Dark mode persists across all pages and subdirectories via localStorage ('vortex_theme'='dark') and cookie.</t>
        </is>
      </c>
      <c r="I17" s="23" t="inlineStr">
        <is>
          <t>Not Run</t>
        </is>
      </c>
      <c r="J17" s="28" t="inlineStr"/>
      <c r="K17" s="23" t="inlineStr"/>
      <c r="L17" s="28" t="inlineStr"/>
    </row>
    <row r="18" ht="68" customHeight="1">
      <c r="A18" s="29" t="inlineStr">
        <is>
          <t>TC-THEME-04</t>
        </is>
      </c>
      <c r="B18" s="30" t="inlineStr">
        <is>
          <t>Google Dark Mode</t>
        </is>
      </c>
      <c r="C18" s="31" t="inlineStr">
        <is>
          <t>Login page floating theme toggle &amp; styling</t>
        </is>
      </c>
      <c r="D18" s="20" t="inlineStr">
        <is>
          <t>Medium</t>
        </is>
      </c>
      <c r="E18" s="31" t="inlineStr">
        <is>
          <t>Browser at /vortex/admin/login.php.</t>
        </is>
      </c>
      <c r="F18" s="31" t="inlineStr">
        <is>
          <t>1. Open login page.
2. Verify floating theme toggle button in top right.
3. Click toggle button to switch to Dark mode.
4. Verify login card, inputs, and button styling in Dark mode.</t>
        </is>
      </c>
      <c r="G18" s="31" t="inlineStr">
        <is>
          <t>Click login #themeToggleBtn</t>
        </is>
      </c>
      <c r="H18" s="31" t="inlineStr">
        <is>
          <t>Login card renders with dark elevated surface (#292a2d), inputs background #202124, Google blue accent button. Text is clearly readable.</t>
        </is>
      </c>
      <c r="I18" s="20" t="inlineStr">
        <is>
          <t>Not Run</t>
        </is>
      </c>
      <c r="J18" s="31" t="inlineStr"/>
      <c r="K18" s="20" t="inlineStr"/>
      <c r="L18" s="31" t="inlineStr"/>
    </row>
    <row r="19" ht="68" customHeight="1">
      <c r="A19" s="26" t="inlineStr">
        <is>
          <t>TC-THEME-05</t>
        </is>
      </c>
      <c r="B19" s="27" t="inlineStr">
        <is>
          <t>Google Dark Mode</t>
        </is>
      </c>
      <c r="C19" s="28" t="inlineStr">
        <is>
          <t>Admin Profile theme preference selector</t>
        </is>
      </c>
      <c r="D19" s="23" t="inlineStr">
        <is>
          <t>Low</t>
        </is>
      </c>
      <c r="E19" s="28" t="inlineStr">
        <is>
          <t>Admin logged in at /vortex/admin/profile.php.</t>
        </is>
      </c>
      <c r="F19" s="28" t="inlineStr">
        <is>
          <t>1. Scroll to 'Appearance &amp; Theme' section.
2. Select 'Google Dark' radio button.
3. Select 'Google Light' radio button.
4. Select 'System Auto' radio button.</t>
        </is>
      </c>
      <c r="G19" s="28" t="inlineStr">
        <is>
          <t>Radio options: Light, Dark, Auto</t>
        </is>
      </c>
      <c r="H19" s="28" t="inlineStr">
        <is>
          <t>Theme updates immediately upon radio selection. State is synced with the topbar toggle button.</t>
        </is>
      </c>
      <c r="I19" s="23" t="inlineStr">
        <is>
          <t>Not Run</t>
        </is>
      </c>
      <c r="J19" s="28" t="inlineStr"/>
      <c r="K19" s="23" t="inlineStr"/>
      <c r="L19" s="28" t="inlineStr"/>
    </row>
    <row r="20" ht="68" customHeight="1">
      <c r="A20" s="29" t="inlineStr">
        <is>
          <t>TC-THEME-06</t>
        </is>
      </c>
      <c r="B20" s="30" t="inlineStr">
        <is>
          <t>Google Dark Mode</t>
        </is>
      </c>
      <c r="C20" s="31" t="inlineStr">
        <is>
          <t>Borderless card aesthetic &amp; Google Drive palette check</t>
        </is>
      </c>
      <c r="D20" s="20" t="inlineStr">
        <is>
          <t>Medium</t>
        </is>
      </c>
      <c r="E20" s="31" t="inlineStr">
        <is>
          <t>Admin dashboard in Dark mode.</t>
        </is>
      </c>
      <c r="F20" s="31" t="inlineStr">
        <is>
          <t>1. Inspect metric cards, section cards, and tables.
2. Verify cards have no jarring harsh borders (`border: none`).
3. Verify contrast ratio of primary blue (#8ab4f8) and text (#e8eaed).</t>
        </is>
      </c>
      <c r="G20" s="31" t="inlineStr">
        <is>
          <t>Visual inspection</t>
        </is>
      </c>
      <c r="H20" s="31" t="inlineStr">
        <is>
          <t>Modern clean Google Drive look. Soft card elevations, clear contrast, borderless containers, smooth hover states.</t>
        </is>
      </c>
      <c r="I20" s="20" t="inlineStr">
        <is>
          <t>Not Run</t>
        </is>
      </c>
      <c r="J20" s="31" t="inlineStr"/>
      <c r="K20" s="20" t="inlineStr"/>
      <c r="L20" s="31" t="inlineStr"/>
    </row>
    <row r="21" ht="68" customHeight="1">
      <c r="A21" s="26" t="inlineStr">
        <is>
          <t>TC-NOTIF-01</t>
        </is>
      </c>
      <c r="B21" s="27" t="inlineStr">
        <is>
          <t>Notification Center</t>
        </is>
      </c>
      <c r="C21" s="28" t="inlineStr">
        <is>
          <t>Notification Bell unread counter badge display</t>
        </is>
      </c>
      <c r="D21" s="23" t="inlineStr">
        <is>
          <t>High</t>
        </is>
      </c>
      <c r="E21" s="28" t="inlineStr">
        <is>
          <t>Admin dashboard with unread notifications in database.</t>
        </is>
      </c>
      <c r="F21" s="28" t="inlineStr">
        <is>
          <t>1. Observe the notification bell icon in top navigation bar.
2. Check unread count pill (#notifBadge).</t>
        </is>
      </c>
      <c r="G21" s="28" t="inlineStr">
        <is>
          <t>Unread alerts in admin_notifications</t>
        </is>
      </c>
      <c r="H21" s="28" t="inlineStr">
        <is>
          <t>Bell icon displays a red/blue badge pill with the exact count of unread notifications. If 0 unread, badge is hidden.</t>
        </is>
      </c>
      <c r="I21" s="23" t="inlineStr">
        <is>
          <t>Not Run</t>
        </is>
      </c>
      <c r="J21" s="28" t="inlineStr"/>
      <c r="K21" s="23" t="inlineStr"/>
      <c r="L21" s="28" t="inlineStr"/>
    </row>
    <row r="22" ht="68" customHeight="1">
      <c r="A22" s="29" t="inlineStr">
        <is>
          <t>TC-NOTIF-02</t>
        </is>
      </c>
      <c r="B22" s="30" t="inlineStr">
        <is>
          <t>Notification Center</t>
        </is>
      </c>
      <c r="C22" s="31" t="inlineStr">
        <is>
          <t>Floating Notification Dropdown open / close behavior</t>
        </is>
      </c>
      <c r="D22" s="20" t="inlineStr">
        <is>
          <t>High</t>
        </is>
      </c>
      <c r="E22" s="31" t="inlineStr">
        <is>
          <t>Admin dashboard open.</t>
        </is>
      </c>
      <c r="F22" s="31" t="inlineStr">
        <is>
          <t>1. Click the notification bell button (#notifBellBtn).
2. Verify dropdown palette opens directly underneath.
3. Click anywhere outside the dropdown.
4. Click bell again, then press Escape key.</t>
        </is>
      </c>
      <c r="G22" s="31" t="inlineStr">
        <is>
          <t>Mouse clicks &amp; Escape key</t>
        </is>
      </c>
      <c r="H22" s="31" t="inlineStr">
        <is>
          <t>Dropdown opens smoothly with list of recent alerts, unread count badge, 'Read All' button, and link to full center. Clicking outside or pressing Escape cleanly closes the palette.</t>
        </is>
      </c>
      <c r="I22" s="20" t="inlineStr">
        <is>
          <t>Not Run</t>
        </is>
      </c>
      <c r="J22" s="31" t="inlineStr"/>
      <c r="K22" s="20" t="inlineStr"/>
      <c r="L22" s="31" t="inlineStr"/>
    </row>
    <row r="23" ht="68" customHeight="1">
      <c r="A23" s="26" t="inlineStr">
        <is>
          <t>TC-NOTIF-03</t>
        </is>
      </c>
      <c r="B23" s="27" t="inlineStr">
        <is>
          <t>Notification Center</t>
        </is>
      </c>
      <c r="C23" s="28" t="inlineStr">
        <is>
          <t>Critical alert types rendering (Failed Webhook, Dispute, High-Value)</t>
        </is>
      </c>
      <c r="D23" s="23" t="inlineStr">
        <is>
          <t>Critical</t>
        </is>
      </c>
      <c r="E23" s="28" t="inlineStr">
        <is>
          <t>Create sample alerts in admin_notifications table.</t>
        </is>
      </c>
      <c r="F23" s="28" t="inlineStr">
        <is>
          <t>1. Open notification dropdown.
2. Verify 'failed_webhook' displays red critical icon and merchant reference.
3. Verify 'new_dispute' displays dispute warning.
4. Verify 'high_value_transaction' (&gt; ₹10,000) displays amber tag.</t>
        </is>
      </c>
      <c r="G23" s="28" t="inlineStr">
        <is>
          <t>Alert types: failed_webhook, new_dispute, high_value_transaction</t>
        </is>
      </c>
      <c r="H23" s="28" t="inlineStr">
        <is>
          <t>Each alert displays correct severity badge, timestamp (e.g. 'Just now' or '10m ago'), title, concise description, and clickable deep-link.</t>
        </is>
      </c>
      <c r="I23" s="23" t="inlineStr">
        <is>
          <t>Not Run</t>
        </is>
      </c>
      <c r="J23" s="28" t="inlineStr"/>
      <c r="K23" s="23" t="inlineStr"/>
      <c r="L23" s="28" t="inlineStr"/>
    </row>
    <row r="24" ht="68" customHeight="1">
      <c r="A24" s="29" t="inlineStr">
        <is>
          <t>TC-NOTIF-04</t>
        </is>
      </c>
      <c r="B24" s="30" t="inlineStr">
        <is>
          <t>Notification Center</t>
        </is>
      </c>
      <c r="C24" s="31" t="inlineStr">
        <is>
          <t>Mark single alert as read</t>
        </is>
      </c>
      <c r="D24" s="20" t="inlineStr">
        <is>
          <t>Medium</t>
        </is>
      </c>
      <c r="E24" s="31" t="inlineStr">
        <is>
          <t>Dropdown open with at least 1 unread notification.</t>
        </is>
      </c>
      <c r="F24" s="31" t="inlineStr">
        <is>
          <t>1. Click the checkmark icon (✓) on a single unread alert item.
2. Observe badge count and item visual state.</t>
        </is>
      </c>
      <c r="G24" s="31" t="inlineStr">
        <is>
          <t>Click #markReadBtn</t>
        </is>
      </c>
      <c r="H24" s="31" t="inlineStr">
        <is>
          <t>Unread badge decrements by 1 immediately without page reload. Alert background changes to read state. Database records is_read=1 with read_at timestamp.</t>
        </is>
      </c>
      <c r="I24" s="20" t="inlineStr">
        <is>
          <t>Not Run</t>
        </is>
      </c>
      <c r="J24" s="31" t="inlineStr"/>
      <c r="K24" s="20" t="inlineStr"/>
      <c r="L24" s="31" t="inlineStr"/>
    </row>
    <row r="25" ht="68" customHeight="1">
      <c r="A25" s="26" t="inlineStr">
        <is>
          <t>TC-NOTIF-05</t>
        </is>
      </c>
      <c r="B25" s="27" t="inlineStr">
        <is>
          <t>Notification Center</t>
        </is>
      </c>
      <c r="C25" s="28" t="inlineStr">
        <is>
          <t>Mark all notifications as read</t>
        </is>
      </c>
      <c r="D25" s="23" t="inlineStr">
        <is>
          <t>Medium</t>
        </is>
      </c>
      <c r="E25" s="28" t="inlineStr">
        <is>
          <t>Dropdown open with multiple unread alerts.</t>
        </is>
      </c>
      <c r="F25" s="28" t="inlineStr">
        <is>
          <t>1. Click '✓ Read All' button in the dropdown header.
2. Observe bell badge and list items.</t>
        </is>
      </c>
      <c r="G25" s="28" t="inlineStr">
        <is>
          <t>Click #notifMarkAllReadBtn</t>
        </is>
      </c>
      <c r="H25" s="28" t="inlineStr">
        <is>
          <t>All alerts update to read state. Bell badge disappears / updates to 0. AJAX response confirms success.</t>
        </is>
      </c>
      <c r="I25" s="23" t="inlineStr">
        <is>
          <t>Not Run</t>
        </is>
      </c>
      <c r="J25" s="28" t="inlineStr"/>
      <c r="K25" s="23" t="inlineStr"/>
      <c r="L25" s="28" t="inlineStr"/>
    </row>
    <row r="26" ht="68" customHeight="1">
      <c r="A26" s="29" t="inlineStr">
        <is>
          <t>TC-NOTIF-06</t>
        </is>
      </c>
      <c r="B26" s="30" t="inlineStr">
        <is>
          <t>Notification Center</t>
        </is>
      </c>
      <c r="C26" s="31" t="inlineStr">
        <is>
          <t>Full Notification Center page navigation &amp; statistics</t>
        </is>
      </c>
      <c r="D26" s="20" t="inlineStr">
        <is>
          <t>High</t>
        </is>
      </c>
      <c r="E26" s="31" t="inlineStr">
        <is>
          <t>Logged in at /vortex/admin/notifications.php.</t>
        </is>
      </c>
      <c r="F26" s="31" t="inlineStr">
        <is>
          <t>1. Click 'All Alerts →' or navigate from sidebar to Notifications.
2. Inspect top stat counters: Total Alerts, Unread Alerts, Webhook Failures, Disputes, High-Value Txns.</t>
        </is>
      </c>
      <c r="G26" s="31" t="inlineStr">
        <is>
          <t>URL: /vortex/admin/notifications.php</t>
        </is>
      </c>
      <c r="H26" s="31" t="inlineStr">
        <is>
          <t>Dedicated page renders with complete statistical summary cards, category pills bar, search filter, and paginated alerts table.</t>
        </is>
      </c>
      <c r="I26" s="20" t="inlineStr">
        <is>
          <t>Not Run</t>
        </is>
      </c>
      <c r="J26" s="31" t="inlineStr"/>
      <c r="K26" s="20" t="inlineStr"/>
      <c r="L26" s="31" t="inlineStr"/>
    </row>
    <row r="27" ht="68" customHeight="1">
      <c r="A27" s="26" t="inlineStr">
        <is>
          <t>TC-NOTIF-07</t>
        </is>
      </c>
      <c r="B27" s="27" t="inlineStr">
        <is>
          <t>Notification Center</t>
        </is>
      </c>
      <c r="C27" s="28" t="inlineStr">
        <is>
          <t>Category filtering on Notifications page</t>
        </is>
      </c>
      <c r="D27" s="23" t="inlineStr">
        <is>
          <t>Medium</t>
        </is>
      </c>
      <c r="E27" s="28" t="inlineStr">
        <is>
          <t>Notifications page with mixed alerts.</t>
        </is>
      </c>
      <c r="F27" s="28" t="inlineStr">
        <is>
          <t>1. Click 'Failed Webhooks' filter pill.
2. Click 'Disputes' filter pill.
3. Click 'High-Value (&gt;₹10k)' filter pill.
4. Click 'All Alerts' pill.</t>
        </is>
      </c>
      <c r="G27" s="28" t="inlineStr">
        <is>
          <t>Click filter pills</t>
        </is>
      </c>
      <c r="H27" s="28" t="inlineStr">
        <is>
          <t>Table dynamically filters to only show alerts matching the selected category. Active pill is highlighted in Google blue.</t>
        </is>
      </c>
      <c r="I27" s="23" t="inlineStr">
        <is>
          <t>Not Run</t>
        </is>
      </c>
      <c r="J27" s="28" t="inlineStr"/>
      <c r="K27" s="23" t="inlineStr"/>
      <c r="L27" s="28" t="inlineStr"/>
    </row>
    <row r="28" ht="68" customHeight="1">
      <c r="A28" s="29" t="inlineStr">
        <is>
          <t>TC-NOTIF-08</t>
        </is>
      </c>
      <c r="B28" s="30" t="inlineStr">
        <is>
          <t>Notification Center</t>
        </is>
      </c>
      <c r="C28" s="31" t="inlineStr">
        <is>
          <t>Sidebar notification badge synchronization</t>
        </is>
      </c>
      <c r="D28" s="20" t="inlineStr">
        <is>
          <t>Low</t>
        </is>
      </c>
      <c r="E28" s="31" t="inlineStr">
        <is>
          <t>Admin navigating between pages.</t>
        </is>
      </c>
      <c r="F28" s="31" t="inlineStr">
        <is>
          <t>1. Observe the 'Notifications' item in the left sidebar.
2. Verify the count badge matches the topbar bell counter.</t>
        </is>
      </c>
      <c r="G28" s="31" t="inlineStr">
        <is>
          <t>Unread count = N</t>
        </is>
      </c>
      <c r="H28" s="31" t="inlineStr">
        <is>
          <t>Sidebar count badge (#sidebarNotifBadge) stays perfectly synchronized with topbar bell badge.</t>
        </is>
      </c>
      <c r="I28" s="20" t="inlineStr">
        <is>
          <t>Not Run</t>
        </is>
      </c>
      <c r="J28" s="31" t="inlineStr"/>
      <c r="K28" s="20" t="inlineStr"/>
      <c r="L28" s="31" t="inlineStr"/>
    </row>
    <row r="29" ht="68" customHeight="1">
      <c r="A29" s="26" t="inlineStr">
        <is>
          <t>TC-SEARCH-01</t>
        </is>
      </c>
      <c r="B29" s="27" t="inlineStr">
        <is>
          <t>Global Search</t>
        </is>
      </c>
      <c r="C29" s="28" t="inlineStr">
        <is>
          <t>Keyboard shortcut trigger (Press '/' to focus)</t>
        </is>
      </c>
      <c r="D29" s="23" t="inlineStr">
        <is>
          <t>High</t>
        </is>
      </c>
      <c r="E29" s="28" t="inlineStr">
        <is>
          <t>Admin on any dashboard page.</t>
        </is>
      </c>
      <c r="F29" s="28" t="inlineStr">
        <is>
          <t>1. Click on page background to ensure no input is focused.
2. Press the forward slash '/' key on keyboard.</t>
        </is>
      </c>
      <c r="G29" s="28" t="inlineStr">
        <is>
          <t>Keypress: '/'</t>
        </is>
      </c>
      <c r="H29" s="28" t="inlineStr">
        <is>
          <t>Focus automatically jumps to the topbar search input (#topbarSearchInput). Search shortcut badge displays '/' indicator.</t>
        </is>
      </c>
      <c r="I29" s="23" t="inlineStr">
        <is>
          <t>Not Run</t>
        </is>
      </c>
      <c r="J29" s="28" t="inlineStr"/>
      <c r="K29" s="23" t="inlineStr"/>
      <c r="L29" s="28" t="inlineStr"/>
    </row>
    <row r="30" ht="68" customHeight="1">
      <c r="A30" s="29" t="inlineStr">
        <is>
          <t>TC-SEARCH-02</t>
        </is>
      </c>
      <c r="B30" s="30" t="inlineStr">
        <is>
          <t>Global Search</t>
        </is>
      </c>
      <c r="C30" s="31" t="inlineStr">
        <is>
          <t>Instant autocomplete dropdown on typing (Debounced search)</t>
        </is>
      </c>
      <c r="D30" s="20" t="inlineStr">
        <is>
          <t>High</t>
        </is>
      </c>
      <c r="E30" s="31" t="inlineStr">
        <is>
          <t>Admin on dashboard with search input focused.</t>
        </is>
      </c>
      <c r="F30" s="31" t="inlineStr">
        <is>
          <t>1. Type 'admin' or 'conf' or 'vort' into the search box.
2. Pause typing for 250ms.
3. Observe autocomplete dropdown (#topbarSearchDropdown).</t>
        </is>
      </c>
      <c r="G30" s="31" t="inlineStr">
        <is>
          <t>Query: 'conf' (&gt;= 2 characters)</t>
        </is>
      </c>
      <c r="H30" s="31" t="inlineStr">
        <is>
          <t>Dropdown opens beneath search bar showing categorised results: Transactions, Merchants, Events with matching highlighted text and status pills.</t>
        </is>
      </c>
      <c r="I30" s="20" t="inlineStr">
        <is>
          <t>Not Run</t>
        </is>
      </c>
      <c r="J30" s="31" t="inlineStr"/>
      <c r="K30" s="20" t="inlineStr"/>
      <c r="L30" s="31" t="inlineStr"/>
    </row>
    <row r="31" ht="68" customHeight="1">
      <c r="A31" s="26" t="inlineStr">
        <is>
          <t>TC-SEARCH-03</t>
        </is>
      </c>
      <c r="B31" s="27" t="inlineStr">
        <is>
          <t>Global Search</t>
        </is>
      </c>
      <c r="C31" s="28" t="inlineStr">
        <is>
          <t>Search by Vortex Transaction ID</t>
        </is>
      </c>
      <c r="D31" s="23" t="inlineStr">
        <is>
          <t>Critical</t>
        </is>
      </c>
      <c r="E31" s="28" t="inlineStr">
        <is>
          <t>At least 1 transaction exists (e.g. 'VTX_...').</t>
        </is>
      </c>
      <c r="F31" s="28" t="inlineStr">
        <is>
          <t>1. Enter exact or partial Vortex Transaction ID into search bar.
2. Press Enter to submit search.</t>
        </is>
      </c>
      <c r="G31" s="28" t="inlineStr">
        <is>
          <t>Query: 'VTX_20261014_...'</t>
        </is>
      </c>
      <c r="H31" s="28" t="inlineStr">
        <is>
          <t>Redirects to /vortex/admin/search.php?q=VTX_... Result table shows the matching transaction with Customer, Amount, Status, and link to Payment Details.</t>
        </is>
      </c>
      <c r="I31" s="23" t="inlineStr">
        <is>
          <t>Not Run</t>
        </is>
      </c>
      <c r="J31" s="28" t="inlineStr"/>
      <c r="K31" s="23" t="inlineStr"/>
      <c r="L31" s="28" t="inlineStr"/>
    </row>
    <row r="32" ht="68" customHeight="1">
      <c r="A32" s="29" t="inlineStr">
        <is>
          <t>TC-SEARCH-04</t>
        </is>
      </c>
      <c r="B32" s="30" t="inlineStr">
        <is>
          <t>Global Search</t>
        </is>
      </c>
      <c r="C32" s="31" t="inlineStr">
        <is>
          <t>Search by Razorpay Payment ID (`pay_...`)</t>
        </is>
      </c>
      <c r="D32" s="20" t="inlineStr">
        <is>
          <t>High</t>
        </is>
      </c>
      <c r="E32" s="31" t="inlineStr">
        <is>
          <t>Transaction with Razorpay ID exists.</t>
        </is>
      </c>
      <c r="F32" s="31" t="inlineStr">
        <is>
          <t>1. Enter Razorpay ID (e.g. 'pay_PW4i567890ABCD') into search bar.
2. Submit search.</t>
        </is>
      </c>
      <c r="G32" s="31" t="inlineStr">
        <is>
          <t>Query: 'pay_...'</t>
        </is>
      </c>
      <c r="H32" s="31" t="inlineStr">
        <is>
          <t>Search engine isolates the matching payment record. Direct link provided to view full transaction timeline.</t>
        </is>
      </c>
      <c r="I32" s="20" t="inlineStr">
        <is>
          <t>Not Run</t>
        </is>
      </c>
      <c r="J32" s="31" t="inlineStr"/>
      <c r="K32" s="20" t="inlineStr"/>
      <c r="L32" s="31" t="inlineStr"/>
    </row>
    <row r="33" ht="68" customHeight="1">
      <c r="A33" s="26" t="inlineStr">
        <is>
          <t>TC-SEARCH-05</t>
        </is>
      </c>
      <c r="B33" s="27" t="inlineStr">
        <is>
          <t>Global Search</t>
        </is>
      </c>
      <c r="C33" s="28" t="inlineStr">
        <is>
          <t>Search by Customer Email address</t>
        </is>
      </c>
      <c r="D33" s="23" t="inlineStr">
        <is>
          <t>High</t>
        </is>
      </c>
      <c r="E33" s="28" t="inlineStr">
        <is>
          <t>Customer transaction with email exists (e.g. 'test@example.com').</t>
        </is>
      </c>
      <c r="F33" s="28" t="inlineStr">
        <is>
          <t>1. Enter customer email in search bar.
2. Submit search.</t>
        </is>
      </c>
      <c r="G33" s="28" t="inlineStr">
        <is>
          <t>Query: 'tester@rajagiri.edu'</t>
        </is>
      </c>
      <c r="H33" s="28" t="inlineStr">
        <is>
          <t>Returns all transactions associated with that customer email across all events, showing total settled amount and dates.</t>
        </is>
      </c>
      <c r="I33" s="23" t="inlineStr">
        <is>
          <t>Not Run</t>
        </is>
      </c>
      <c r="J33" s="28" t="inlineStr"/>
      <c r="K33" s="23" t="inlineStr"/>
      <c r="L33" s="28" t="inlineStr"/>
    </row>
    <row r="34" ht="68" customHeight="1">
      <c r="A34" s="29" t="inlineStr">
        <is>
          <t>TC-SEARCH-06</t>
        </is>
      </c>
      <c r="B34" s="30" t="inlineStr">
        <is>
          <t>Global Search</t>
        </is>
      </c>
      <c r="C34" s="31" t="inlineStr">
        <is>
          <t>Search by API Client / Merchant Name</t>
        </is>
      </c>
      <c r="D34" s="20" t="inlineStr">
        <is>
          <t>Medium</t>
        </is>
      </c>
      <c r="E34" s="31" t="inlineStr">
        <is>
          <t>API client exists (e.g. 'Rajagiri Conference').</t>
        </is>
      </c>
      <c r="F34" s="31" t="inlineStr">
        <is>
          <t>1. Type merchant name into search bar.
2. Submit search.</t>
        </is>
      </c>
      <c r="G34" s="31" t="inlineStr">
        <is>
          <t>Query: 'Rajagiri'</t>
        </is>
      </c>
      <c r="H34" s="31" t="inlineStr">
        <is>
          <t>Search results display the matching API Client card with Client ID, Environment, Webhook status, and link to edit client.</t>
        </is>
      </c>
      <c r="I34" s="20" t="inlineStr">
        <is>
          <t>Not Run</t>
        </is>
      </c>
      <c r="J34" s="31" t="inlineStr"/>
      <c r="K34" s="20" t="inlineStr"/>
      <c r="L34" s="31" t="inlineStr"/>
    </row>
    <row r="35" ht="68" customHeight="1">
      <c r="A35" s="26" t="inlineStr">
        <is>
          <t>TC-SEARCH-07</t>
        </is>
      </c>
      <c r="B35" s="27" t="inlineStr">
        <is>
          <t>Global Search</t>
        </is>
      </c>
      <c r="C35" s="28" t="inlineStr">
        <is>
          <t>Dedicated Search page with category tabs</t>
        </is>
      </c>
      <c r="D35" s="23" t="inlineStr">
        <is>
          <t>Medium</t>
        </is>
      </c>
      <c r="E35" s="28" t="inlineStr">
        <is>
          <t>On /vortex/admin/search.php?q=...</t>
        </is>
      </c>
      <c r="F35" s="28" t="inlineStr">
        <is>
          <t>1. Execute any search query.
2. Click 'Transactions' tab.
3. Click 'API Clients' tab.
4. Click 'Events' tab.
5. Click 'All Results' tab.</t>
        </is>
      </c>
      <c r="G35" s="28" t="inlineStr">
        <is>
          <t>Search query with mixed matches</t>
        </is>
      </c>
      <c r="H35" s="28" t="inlineStr">
        <is>
          <t>Tabs filter results seamlessly. Result counts per category are displayed in tab badges. Search latency benchmark is displayed.</t>
        </is>
      </c>
      <c r="I35" s="23" t="inlineStr">
        <is>
          <t>Not Run</t>
        </is>
      </c>
      <c r="J35" s="28" t="inlineStr"/>
      <c r="K35" s="23" t="inlineStr"/>
      <c r="L35" s="28" t="inlineStr"/>
    </row>
    <row r="36" ht="68" customHeight="1">
      <c r="A36" s="29" t="inlineStr">
        <is>
          <t>TC-ONBOARD-01</t>
        </is>
      </c>
      <c r="B36" s="30" t="inlineStr">
        <is>
          <t>Client Onboarding</t>
        </is>
      </c>
      <c r="C36" s="31" t="inlineStr">
        <is>
          <t>Step 1: Merchant Profile validation &amp; form fields</t>
        </is>
      </c>
      <c r="D36" s="20" t="inlineStr">
        <is>
          <t>High</t>
        </is>
      </c>
      <c r="E36" s="31" t="inlineStr">
        <is>
          <t>Logged in at /vortex/admin/api_clients/onboarding.php.</t>
        </is>
      </c>
      <c r="F36" s="31" t="inlineStr">
        <is>
          <t>1. Open Onboarding Wizard.
2. Verify progress stepper shows: 1. Merchant Info, 2. API Keys, 3. Webhook Test, 4. Preferences.
3. Enter invalid email or leave client name empty and click 'Next'.</t>
        </is>
      </c>
      <c r="G36" s="31" t="inlineStr">
        <is>
          <t>Client Name: ''
Email: 'invalid-email'</t>
        </is>
      </c>
      <c r="H36" s="31" t="inlineStr">
        <is>
          <t>Form validation prevents proceeding. Error messages highlight required fields. Valid data allows clicking 'Next: Generate Keys →'.</t>
        </is>
      </c>
      <c r="I36" s="20" t="inlineStr">
        <is>
          <t>Not Run</t>
        </is>
      </c>
      <c r="J36" s="31" t="inlineStr"/>
      <c r="K36" s="20" t="inlineStr"/>
      <c r="L36" s="31" t="inlineStr"/>
    </row>
    <row r="37" ht="68" customHeight="1">
      <c r="A37" s="26" t="inlineStr">
        <is>
          <t>TC-ONBOARD-02</t>
        </is>
      </c>
      <c r="B37" s="27" t="inlineStr">
        <is>
          <t>Client Onboarding</t>
        </is>
      </c>
      <c r="C37" s="28" t="inlineStr">
        <is>
          <t>Step 2: Dual Key Generation (Live &amp; Test mode)</t>
        </is>
      </c>
      <c r="D37" s="23" t="inlineStr">
        <is>
          <t>Critical</t>
        </is>
      </c>
      <c r="E37" s="28" t="inlineStr">
        <is>
          <t>Step 1 completed with valid data.</t>
        </is>
      </c>
      <c r="F37" s="28" t="inlineStr">
        <is>
          <t>1. Advance to Step 2.
2. Verify Live API Key and Secret are auto-generated.
3. Verify Test API Key ('test_...') and Secret are generated.
4. Click 'Copy' button on Live Key.
5. Click 'Reveal' toggle on Secret.</t>
        </is>
      </c>
      <c r="G37" s="28" t="inlineStr">
        <is>
          <t>Generated 32-char hex keys</t>
        </is>
      </c>
      <c r="H37" s="28" t="inlineStr">
        <is>
          <t>Keys are generated securely. Copy button copies key to clipboard with visual toast feedback. Reveal button unmasks hidden secret.</t>
        </is>
      </c>
      <c r="I37" s="23" t="inlineStr">
        <is>
          <t>Not Run</t>
        </is>
      </c>
      <c r="J37" s="28" t="inlineStr"/>
      <c r="K37" s="23" t="inlineStr"/>
      <c r="L37" s="28" t="inlineStr"/>
    </row>
    <row r="38" ht="68" customHeight="1">
      <c r="A38" s="29" t="inlineStr">
        <is>
          <t>TC-ONBOARD-03</t>
        </is>
      </c>
      <c r="B38" s="30" t="inlineStr">
        <is>
          <t>Client Onboarding</t>
        </is>
      </c>
      <c r="C38" s="31" t="inlineStr">
        <is>
          <t>Step 3: Interactive Webhook Diagnostic Ping Test</t>
        </is>
      </c>
      <c r="D38" s="20" t="inlineStr">
        <is>
          <t>High</t>
        </is>
      </c>
      <c r="E38" s="31" t="inlineStr">
        <is>
          <t>Step 2 completed, Webhook URL entered.</t>
        </is>
      </c>
      <c r="F38" s="31" t="inlineStr">
        <is>
          <t>1. Enter Webhook URL (e.g. 'http://localhost:8080/vortex/webhook.php').
2. Click 'Ping &amp; Test Webhook' button.
3. Observe test execution.</t>
        </is>
      </c>
      <c r="G38" s="31" t="inlineStr">
        <is>
          <t>Webhook URL: valid endpoint</t>
        </is>
      </c>
      <c r="H38" s="31" t="inlineStr">
        <is>
          <t>System sends a live test payload with HMAC-SHA256 signature header. Success banner displays HTTP 200 OK, latency in ms (e.g. '12ms'), and signature verification preview.</t>
        </is>
      </c>
      <c r="I38" s="20" t="inlineStr">
        <is>
          <t>Not Run</t>
        </is>
      </c>
      <c r="J38" s="31" t="inlineStr"/>
      <c r="K38" s="20" t="inlineStr"/>
      <c r="L38" s="31" t="inlineStr"/>
    </row>
    <row r="39" ht="68" customHeight="1">
      <c r="A39" s="26" t="inlineStr">
        <is>
          <t>TC-ONBOARD-04</t>
        </is>
      </c>
      <c r="B39" s="27" t="inlineStr">
        <is>
          <t>Client Onboarding</t>
        </is>
      </c>
      <c r="C39" s="28" t="inlineStr">
        <is>
          <t>Webhook diagnostic failure handling (unreachable URL)</t>
        </is>
      </c>
      <c r="D39" s="23" t="inlineStr">
        <is>
          <t>Medium</t>
        </is>
      </c>
      <c r="E39" s="28" t="inlineStr">
        <is>
          <t>Step 3 active.</t>
        </is>
      </c>
      <c r="F39" s="28" t="inlineStr">
        <is>
          <t>1. Enter unreachable URL: 'http://localhost:9999/nonexistent'.
2. Click 'Ping &amp; Test Webhook'.</t>
        </is>
      </c>
      <c r="G39" s="28" t="inlineStr">
        <is>
          <t>Webhook URL: invalid host</t>
        </is>
      </c>
      <c r="H39" s="28" t="inlineStr">
        <is>
          <t>Diagnostic captures failure gracefully. Displays error explanation (Connection refused / 404). Allows user to adjust URL or skip test.</t>
        </is>
      </c>
      <c r="I39" s="23" t="inlineStr">
        <is>
          <t>Not Run</t>
        </is>
      </c>
      <c r="J39" s="28" t="inlineStr"/>
      <c r="K39" s="23" t="inlineStr"/>
      <c r="L39" s="28" t="inlineStr"/>
    </row>
    <row r="40" ht="68" customHeight="1">
      <c r="A40" s="29" t="inlineStr">
        <is>
          <t>TC-ONBOARD-05</t>
        </is>
      </c>
      <c r="B40" s="30" t="inlineStr">
        <is>
          <t>Client Onboarding</t>
        </is>
      </c>
      <c r="C40" s="31" t="inlineStr">
        <is>
          <t>Step 4: Multi-channel Notification Preferences selection</t>
        </is>
      </c>
      <c r="D40" s="20" t="inlineStr">
        <is>
          <t>High</t>
        </is>
      </c>
      <c r="E40" s="31" t="inlineStr">
        <is>
          <t>Step 3 completed.</t>
        </is>
      </c>
      <c r="F40" s="31" t="inlineStr">
        <is>
          <t>1. Advance to Step 4.
2. Toggle Notification email and phone.
3. Check/uncheck alert events: Payment Success, Refund Processed, Dispute Created.
4. Toggle Email Alerts on, SMS Alerts off.</t>
        </is>
      </c>
      <c r="G40" s="31" t="inlineStr">
        <is>
          <t>Preferences: Email=Yes, SMS=No</t>
        </is>
      </c>
      <c r="H40" s="31" t="inlineStr">
        <is>
          <t>Preferences are clearly structured with checkboxes. Summary panel updates dynamically reflecting chosen settings.</t>
        </is>
      </c>
      <c r="I40" s="20" t="inlineStr">
        <is>
          <t>Not Run</t>
        </is>
      </c>
      <c r="J40" s="31" t="inlineStr"/>
      <c r="K40" s="20" t="inlineStr"/>
      <c r="L40" s="31" t="inlineStr"/>
    </row>
    <row r="41" ht="68" customHeight="1">
      <c r="A41" s="26" t="inlineStr">
        <is>
          <t>TC-ONBOARD-06</t>
        </is>
      </c>
      <c r="B41" s="27" t="inlineStr">
        <is>
          <t>Client Onboarding</t>
        </is>
      </c>
      <c r="C41" s="28" t="inlineStr">
        <is>
          <t>Finalize Onboarding &amp; automated Welcome Email dispatch</t>
        </is>
      </c>
      <c r="D41" s="23" t="inlineStr">
        <is>
          <t>Critical</t>
        </is>
      </c>
      <c r="E41" s="28" t="inlineStr">
        <is>
          <t>Step 4 completed.</t>
        </is>
      </c>
      <c r="F41" s="28" t="inlineStr">
        <is>
          <t>1. Click 'Complete Onboarding &amp; Activate Merchant'.
2. Observe final confirmation screen.</t>
        </is>
      </c>
      <c r="G41" s="28" t="inlineStr">
        <is>
          <t>Form submission</t>
        </is>
      </c>
      <c r="H41" s="28" t="inlineStr">
        <is>
          <t>Merchant is created in api_clients table. Notification preferences saved. Welcome email queued/dispatched via SMTP. Success screen displays summary with direct links to Client details and Merchant Portal.</t>
        </is>
      </c>
      <c r="I41" s="23" t="inlineStr">
        <is>
          <t>Not Run</t>
        </is>
      </c>
      <c r="J41" s="28" t="inlineStr"/>
      <c r="K41" s="23" t="inlineStr"/>
      <c r="L41" s="28" t="inlineStr"/>
    </row>
    <row r="42" ht="68" customHeight="1">
      <c r="A42" s="29" t="inlineStr">
        <is>
          <t>TC-ONBOARD-07</t>
        </is>
      </c>
      <c r="B42" s="30" t="inlineStr">
        <is>
          <t>Client Onboarding</t>
        </is>
      </c>
      <c r="C42" s="31" t="inlineStr">
        <is>
          <t>Verify newly onboarded merchant in API Clients table</t>
        </is>
      </c>
      <c r="D42" s="20" t="inlineStr">
        <is>
          <t>High</t>
        </is>
      </c>
      <c r="E42" s="31" t="inlineStr">
        <is>
          <t>Onboarding completed.</t>
        </is>
      </c>
      <c r="F42" s="31" t="inlineStr">
        <is>
          <t>1. Navigate to /vortex/admin/api_clients/index.php.
2. Locate the newly created merchant.</t>
        </is>
      </c>
      <c r="G42" s="31" t="inlineStr">
        <is>
          <t>Client list inspection</t>
        </is>
      </c>
      <c r="H42" s="31" t="inlineStr">
        <is>
          <t>Merchant appears in the list with 'Active' status, correct webhook URL, created timestamp, and action buttons to view credentials or deactivate.</t>
        </is>
      </c>
      <c r="I42" s="20" t="inlineStr">
        <is>
          <t>Not Run</t>
        </is>
      </c>
      <c r="J42" s="31" t="inlineStr"/>
      <c r="K42" s="20" t="inlineStr"/>
      <c r="L42" s="31" t="inlineStr"/>
    </row>
    <row r="43" ht="68" customHeight="1">
      <c r="A43" s="26" t="inlineStr">
        <is>
          <t>TC-TXN-01</t>
        </is>
      </c>
      <c r="B43" s="27" t="inlineStr">
        <is>
          <t>Transactions &amp; Refunds</t>
        </is>
      </c>
      <c r="C43" s="28" t="inlineStr">
        <is>
          <t>Transactions list view &amp; status badges</t>
        </is>
      </c>
      <c r="D43" s="23" t="inlineStr">
        <is>
          <t>High</t>
        </is>
      </c>
      <c r="E43" s="28" t="inlineStr">
        <is>
          <t>Logged in at /vortex/admin/payments/list_payments.php.</t>
        </is>
      </c>
      <c r="F43" s="28" t="inlineStr">
        <is>
          <t>1. Open Transactions page.
2. Inspect table columns: Vortex ID, Razorpay ID, Event, Customer Name/Email, Amount, Status, Date, Actions.
3. Verify color-coded status badges (Success=green, Refunded=purple, Failed=red).</t>
        </is>
      </c>
      <c r="G43" s="28" t="inlineStr">
        <is>
          <t>Transactions list</t>
        </is>
      </c>
      <c r="H43" s="28" t="inlineStr">
        <is>
          <t>Table renders clearly. Status badges match design tokens. Pagination controls work for &gt;15 records.</t>
        </is>
      </c>
      <c r="I43" s="23" t="inlineStr">
        <is>
          <t>Not Run</t>
        </is>
      </c>
      <c r="J43" s="28" t="inlineStr"/>
      <c r="K43" s="23" t="inlineStr"/>
      <c r="L43" s="28" t="inlineStr"/>
    </row>
    <row r="44" ht="68" customHeight="1">
      <c r="A44" s="29" t="inlineStr">
        <is>
          <t>TC-TXN-02</t>
        </is>
      </c>
      <c r="B44" s="30" t="inlineStr">
        <is>
          <t>Transactions &amp; Refunds</t>
        </is>
      </c>
      <c r="C44" s="31" t="inlineStr">
        <is>
          <t>Filter transactions by Status and Date Range</t>
        </is>
      </c>
      <c r="D44" s="20" t="inlineStr">
        <is>
          <t>Medium</t>
        </is>
      </c>
      <c r="E44" s="31" t="inlineStr">
        <is>
          <t>On /vortex/admin/payments/list_payments.php.</t>
        </is>
      </c>
      <c r="F44" s="31" t="inlineStr">
        <is>
          <t>1. Select Status filter: 'Success'.
2. Select Date From: '2026-10-01' To: '2026-10-31'.
3. Click 'Apply Filters'.</t>
        </is>
      </c>
      <c r="G44" s="31" t="inlineStr">
        <is>
          <t>Filters: status=success</t>
        </is>
      </c>
      <c r="H44" s="31" t="inlineStr">
        <is>
          <t>Table displays only successful transactions within specified date range. Counter shows matching count.</t>
        </is>
      </c>
      <c r="I44" s="20" t="inlineStr">
        <is>
          <t>Not Run</t>
        </is>
      </c>
      <c r="J44" s="31" t="inlineStr"/>
      <c r="K44" s="20" t="inlineStr"/>
      <c r="L44" s="31" t="inlineStr"/>
    </row>
    <row r="45" ht="68" customHeight="1">
      <c r="A45" s="26" t="inlineStr">
        <is>
          <t>TC-TXN-03</t>
        </is>
      </c>
      <c r="B45" s="27" t="inlineStr">
        <is>
          <t>Transactions &amp; Refunds</t>
        </is>
      </c>
      <c r="C45" s="28" t="inlineStr">
        <is>
          <t>Transaction details view &amp; timeline inspection</t>
        </is>
      </c>
      <c r="D45" s="23" t="inlineStr">
        <is>
          <t>High</t>
        </is>
      </c>
      <c r="E45" s="28" t="inlineStr">
        <is>
          <t>Select a successful transaction.</t>
        </is>
      </c>
      <c r="F45" s="28" t="inlineStr">
        <is>
          <t>1. Click 'View' action button on transaction row.
2. Inspect Payment Details page (/admin/payments/payment_details.php?id=...).</t>
        </is>
      </c>
      <c r="G45" s="28" t="inlineStr">
        <is>
          <t>Transaction ID parameter</t>
        </is>
      </c>
      <c r="H45" s="28" t="inlineStr">
        <is>
          <t>Displays comprehensive breakdown: Order ID, Razorpay ID, Customer metadata, Event name, Fee breakdown, Gateway response payload, and Webhook dispatch log.</t>
        </is>
      </c>
      <c r="I45" s="23" t="inlineStr">
        <is>
          <t>Not Run</t>
        </is>
      </c>
      <c r="J45" s="28" t="inlineStr"/>
      <c r="K45" s="23" t="inlineStr"/>
      <c r="L45" s="28" t="inlineStr"/>
    </row>
    <row r="46" ht="68" customHeight="1">
      <c r="A46" s="29" t="inlineStr">
        <is>
          <t>TC-TXN-04</t>
        </is>
      </c>
      <c r="B46" s="30" t="inlineStr">
        <is>
          <t>Transactions &amp; Refunds</t>
        </is>
      </c>
      <c r="C46" s="31" t="inlineStr">
        <is>
          <t>Process Full Refund with mandatory reason</t>
        </is>
      </c>
      <c r="D46" s="20" t="inlineStr">
        <is>
          <t>Critical</t>
        </is>
      </c>
      <c r="E46" s="31" t="inlineStr">
        <is>
          <t>Transaction in 'Success' status.</t>
        </is>
      </c>
      <c r="F46" s="31" t="inlineStr">
        <is>
          <t>1. On payment details page, click 'Issue Refund' button.
2. In the refund modal, enter Refund Amount equal to total.
3. Enter Reason: 'Customer requested cancellation'.
4. Confirm refund prompt.</t>
        </is>
      </c>
      <c r="G46" s="31" t="inlineStr">
        <is>
          <t>Amount: Full
Reason: Customer requested cancellation</t>
        </is>
      </c>
      <c r="H46" s="31" t="inlineStr">
        <is>
          <t>Gateway calls Razorpay refund API. Transaction status updates to 'refunded'. Refund ID generated. Audit log created. Success alert displayed.</t>
        </is>
      </c>
      <c r="I46" s="20" t="inlineStr">
        <is>
          <t>Not Run</t>
        </is>
      </c>
      <c r="J46" s="31" t="inlineStr"/>
      <c r="K46" s="20" t="inlineStr"/>
      <c r="L46" s="31" t="inlineStr"/>
    </row>
    <row r="47" ht="68" customHeight="1">
      <c r="A47" s="26" t="inlineStr">
        <is>
          <t>TC-TXN-05</t>
        </is>
      </c>
      <c r="B47" s="27" t="inlineStr">
        <is>
          <t>Transactions &amp; Refunds</t>
        </is>
      </c>
      <c r="C47" s="28" t="inlineStr">
        <is>
          <t>Process Partial Refund validation</t>
        </is>
      </c>
      <c r="D47" s="23" t="inlineStr">
        <is>
          <t>High</t>
        </is>
      </c>
      <c r="E47" s="28" t="inlineStr">
        <is>
          <t>Transaction in 'Success' status for ₹1,000.</t>
        </is>
      </c>
      <c r="F47" s="28" t="inlineStr">
        <is>
          <t>1. Open refund modal.
2. Enter Amount: ₹500.
3. Enter Reason: 'Partial workshop fee waiver'.
4. Submit refund.</t>
        </is>
      </c>
      <c r="G47" s="28" t="inlineStr">
        <is>
          <t>Amount: 500 (out of 1000)</t>
        </is>
      </c>
      <c r="H47" s="28" t="inlineStr">
        <is>
          <t>Partial refund processed. Remaining balance displays ₹500. Transaction records both original payment and partial refund record.</t>
        </is>
      </c>
      <c r="I47" s="23" t="inlineStr">
        <is>
          <t>Not Run</t>
        </is>
      </c>
      <c r="J47" s="28" t="inlineStr"/>
      <c r="K47" s="23" t="inlineStr"/>
      <c r="L47" s="28" t="inlineStr"/>
    </row>
    <row r="48" ht="68" customHeight="1">
      <c r="A48" s="29" t="inlineStr">
        <is>
          <t>TC-TXN-06</t>
        </is>
      </c>
      <c r="B48" s="30" t="inlineStr">
        <is>
          <t>Transactions &amp; Refunds</t>
        </is>
      </c>
      <c r="C48" s="31" t="inlineStr">
        <is>
          <t>Excessive refund amount rejection</t>
        </is>
      </c>
      <c r="D48" s="20" t="inlineStr">
        <is>
          <t>Medium</t>
        </is>
      </c>
      <c r="E48" s="31" t="inlineStr">
        <is>
          <t>Transaction for ₹1,000.</t>
        </is>
      </c>
      <c r="F48" s="31" t="inlineStr">
        <is>
          <t>1. Open refund modal.
2. Enter Amount: ₹1,500 (greater than paid amount).
3. Attempt to submit.</t>
        </is>
      </c>
      <c r="G48" s="31" t="inlineStr">
        <is>
          <t>Amount: 1500</t>
        </is>
      </c>
      <c r="H48" s="31" t="inlineStr">
        <is>
          <t>Client-side and server-side validation reject submission: 'Refund amount cannot exceed remaining transaction balance.'. No refund created.</t>
        </is>
      </c>
      <c r="I48" s="20" t="inlineStr">
        <is>
          <t>Not Run</t>
        </is>
      </c>
      <c r="J48" s="31" t="inlineStr"/>
      <c r="K48" s="20" t="inlineStr"/>
      <c r="L48" s="31" t="inlineStr"/>
    </row>
    <row r="49" ht="68" customHeight="1">
      <c r="A49" s="26" t="inlineStr">
        <is>
          <t>TC-TXN-07</t>
        </is>
      </c>
      <c r="B49" s="27" t="inlineStr">
        <is>
          <t>Transactions &amp; Refunds</t>
        </is>
      </c>
      <c r="C49" s="28" t="inlineStr">
        <is>
          <t>Refund triggers client email/SMS notification</t>
        </is>
      </c>
      <c r="D49" s="23" t="inlineStr">
        <is>
          <t>High</t>
        </is>
      </c>
      <c r="E49" s="28" t="inlineStr">
        <is>
          <t>Merchant has notify_email_refund=1.</t>
        </is>
      </c>
      <c r="F49" s="28" t="inlineStr">
        <is>
          <t>1. Process refund on transaction.
2. Check notification_logs table or server mail log.</t>
        </is>
      </c>
      <c r="G49" s="28" t="inlineStr">
        <is>
          <t>Refund processed</t>
        </is>
      </c>
      <c r="H49" s="28" t="inlineStr">
        <is>
          <t>System creates notification dispatch row for 'refund_processed' and queues email/SMS to client.</t>
        </is>
      </c>
      <c r="I49" s="23" t="inlineStr">
        <is>
          <t>Not Run</t>
        </is>
      </c>
      <c r="J49" s="28" t="inlineStr"/>
      <c r="K49" s="23" t="inlineStr"/>
      <c r="L49" s="28" t="inlineStr"/>
    </row>
    <row r="50" ht="68" customHeight="1">
      <c r="A50" s="29" t="inlineStr">
        <is>
          <t>TC-TXN-08</t>
        </is>
      </c>
      <c r="B50" s="30" t="inlineStr">
        <is>
          <t>Transactions &amp; Refunds</t>
        </is>
      </c>
      <c r="C50" s="31" t="inlineStr">
        <is>
          <t>Audit Trail records refund issuance with actor details</t>
        </is>
      </c>
      <c r="D50" s="20" t="inlineStr">
        <is>
          <t>Medium</t>
        </is>
      </c>
      <c r="E50" s="31" t="inlineStr">
        <is>
          <t>Refund processed by logged-in admin.</t>
        </is>
      </c>
      <c r="F50" s="31" t="inlineStr">
        <is>
          <t>1. Navigate to /vortex/admin/audit_logs.php.
2. Locate newest entry at top.</t>
        </is>
      </c>
      <c r="G50" s="31" t="inlineStr">
        <is>
          <t>Audit Trail inspection</t>
        </is>
      </c>
      <c r="H50" s="31" t="inlineStr">
        <is>
          <t>New entry shows Action: 'payment.refund', Actor: Admin username, Target: Transaction ID, with IP address and timestamp.</t>
        </is>
      </c>
      <c r="I50" s="20" t="inlineStr">
        <is>
          <t>Not Run</t>
        </is>
      </c>
      <c r="J50" s="31" t="inlineStr"/>
      <c r="K50" s="20" t="inlineStr"/>
      <c r="L50" s="31" t="inlineStr"/>
    </row>
    <row r="51" ht="68" customHeight="1">
      <c r="A51" s="26" t="inlineStr">
        <is>
          <t>TC-PORTAL-01</t>
        </is>
      </c>
      <c r="B51" s="27" t="inlineStr">
        <is>
          <t>Merchant Portal</t>
        </is>
      </c>
      <c r="C51" s="28" t="inlineStr">
        <is>
          <t>Merchant login with Client ID and Secret/Password</t>
        </is>
      </c>
      <c r="D51" s="23" t="inlineStr">
        <is>
          <t>Critical</t>
        </is>
      </c>
      <c r="E51" s="28" t="inlineStr">
        <is>
          <t>Browser at /vortex/portal/login.php.</t>
        </is>
      </c>
      <c r="F51" s="28" t="inlineStr">
        <is>
          <t>1. Open Merchant Portal login page.
2. Enter Client ID / API Key.
3. Enter API Secret or Merchant Password.
4. Click 'Sign In to Portal'.</t>
        </is>
      </c>
      <c r="G51" s="28" t="inlineStr">
        <is>
          <t>Valid Merchant credentials</t>
        </is>
      </c>
      <c r="H51" s="28" t="inlineStr">
        <is>
          <t>Authenticated into Merchant Portal. Redirected to /vortex/portal/dashboard.php. Navigation displays merchant brand name.</t>
        </is>
      </c>
      <c r="I51" s="23" t="inlineStr">
        <is>
          <t>Not Run</t>
        </is>
      </c>
      <c r="J51" s="28" t="inlineStr"/>
      <c r="K51" s="23" t="inlineStr"/>
      <c r="L51" s="28" t="inlineStr"/>
    </row>
    <row r="52" ht="68" customHeight="1">
      <c r="A52" s="29" t="inlineStr">
        <is>
          <t>TC-PORTAL-02</t>
        </is>
      </c>
      <c r="B52" s="30" t="inlineStr">
        <is>
          <t>Merchant Portal</t>
        </is>
      </c>
      <c r="C52" s="31" t="inlineStr">
        <is>
          <t>Merchant dashboard transaction metrics &amp; charts</t>
        </is>
      </c>
      <c r="D52" s="20" t="inlineStr">
        <is>
          <t>High</t>
        </is>
      </c>
      <c r="E52" s="31" t="inlineStr">
        <is>
          <t>Merchant logged in.</t>
        </is>
      </c>
      <c r="F52" s="31" t="inlineStr">
        <is>
          <t>1. Inspect Dashboard overview cards: Gross Volume, Total Payments, Success Rate, Active Webhook.
2. Verify recent transactions list.</t>
        </is>
      </c>
      <c r="G52" s="31" t="inlineStr">
        <is>
          <t>Merchant portal dashboard</t>
        </is>
      </c>
      <c r="H52" s="31" t="inlineStr">
        <is>
          <t>Metrics strictly scoped to THIS merchant's transactions only. No data from other merchants is accessible.</t>
        </is>
      </c>
      <c r="I52" s="20" t="inlineStr">
        <is>
          <t>Not Run</t>
        </is>
      </c>
      <c r="J52" s="31" t="inlineStr"/>
      <c r="K52" s="20" t="inlineStr"/>
      <c r="L52" s="31" t="inlineStr"/>
    </row>
    <row r="53" ht="68" customHeight="1">
      <c r="A53" s="26" t="inlineStr">
        <is>
          <t>TC-PORTAL-03</t>
        </is>
      </c>
      <c r="B53" s="27" t="inlineStr">
        <is>
          <t>Merchant Portal</t>
        </is>
      </c>
      <c r="C53" s="28" t="inlineStr">
        <is>
          <t>View &amp; Copy API Credentials (Live and Test)</t>
        </is>
      </c>
      <c r="D53" s="23" t="inlineStr">
        <is>
          <t>High</t>
        </is>
      </c>
      <c r="E53" s="28" t="inlineStr">
        <is>
          <t>On /vortex/portal/credentials.php.</t>
        </is>
      </c>
      <c r="F53" s="28" t="inlineStr">
        <is>
          <t>1. Navigate to 'API Credentials' in portal sidebar.
2. Click 'Copy' button on Live API Key.
3. Click 'Reveal' to view masked API Secret.</t>
        </is>
      </c>
      <c r="G53" s="28" t="inlineStr">
        <is>
          <t>Click Copy &amp; Reveal</t>
        </is>
      </c>
      <c r="H53" s="28" t="inlineStr">
        <is>
          <t>Keys copy to clipboard with feedback tooltip. Secret unmasks properly for integration into client's code.</t>
        </is>
      </c>
      <c r="I53" s="23" t="inlineStr">
        <is>
          <t>Not Run</t>
        </is>
      </c>
      <c r="J53" s="28" t="inlineStr"/>
      <c r="K53" s="23" t="inlineStr"/>
      <c r="L53" s="28" t="inlineStr"/>
    </row>
    <row r="54" ht="68" customHeight="1">
      <c r="A54" s="29" t="inlineStr">
        <is>
          <t>TC-PORTAL-04</t>
        </is>
      </c>
      <c r="B54" s="30" t="inlineStr">
        <is>
          <t>Merchant Portal</t>
        </is>
      </c>
      <c r="C54" s="31" t="inlineStr">
        <is>
          <t>Regenerate API Secret with confirmation prompt</t>
        </is>
      </c>
      <c r="D54" s="20" t="inlineStr">
        <is>
          <t>High</t>
        </is>
      </c>
      <c r="E54" s="31" t="inlineStr">
        <is>
          <t>On /vortex/portal/credentials.php.</t>
        </is>
      </c>
      <c r="F54" s="31" t="inlineStr">
        <is>
          <t>1. Click 'Regenerate Secret' button.
2. Read security warning modal.
3. Enter current account password to authorize.
4. Confirm regeneration.</t>
        </is>
      </c>
      <c r="G54" s="31" t="inlineStr">
        <is>
          <t>Password confirmation</t>
        </is>
      </c>
      <c r="H54" s="31" t="inlineStr">
        <is>
          <t>Old secret is invalidated. New 32-character secret generated. System prompts user to update their backend integration. Audit log created.</t>
        </is>
      </c>
      <c r="I54" s="20" t="inlineStr">
        <is>
          <t>Not Run</t>
        </is>
      </c>
      <c r="J54" s="31" t="inlineStr"/>
      <c r="K54" s="20" t="inlineStr"/>
      <c r="L54" s="31" t="inlineStr"/>
    </row>
    <row r="55" ht="68" customHeight="1">
      <c r="A55" s="26" t="inlineStr">
        <is>
          <t>TC-PORTAL-05</t>
        </is>
      </c>
      <c r="B55" s="27" t="inlineStr">
        <is>
          <t>Merchant Portal</t>
        </is>
      </c>
      <c r="C55" s="28" t="inlineStr">
        <is>
          <t>Webhook settings update &amp; Test ping</t>
        </is>
      </c>
      <c r="D55" s="23" t="inlineStr">
        <is>
          <t>High</t>
        </is>
      </c>
      <c r="E55" s="28" t="inlineStr">
        <is>
          <t>On /vortex/portal/webhooks.php.</t>
        </is>
      </c>
      <c r="F55" s="28" t="inlineStr">
        <is>
          <t>1. Navigate to 'Webhook Settings'.
2. Update Webhook URL.
3. Click 'Send Test Webhook'.</t>
        </is>
      </c>
      <c r="G55" s="28" t="inlineStr">
        <is>
          <t>New Webhook URL</t>
        </is>
      </c>
      <c r="H55" s="28" t="inlineStr">
        <is>
          <t>Webhook URL saved. Test ping executes and displays delivery status and HTTP response code.</t>
        </is>
      </c>
      <c r="I55" s="23" t="inlineStr">
        <is>
          <t>Not Run</t>
        </is>
      </c>
      <c r="J55" s="28" t="inlineStr"/>
      <c r="K55" s="23" t="inlineStr"/>
      <c r="L55" s="28" t="inlineStr"/>
    </row>
    <row r="56" ht="68" customHeight="1">
      <c r="A56" s="29" t="inlineStr">
        <is>
          <t>TC-PORTAL-06</t>
        </is>
      </c>
      <c r="B56" s="30" t="inlineStr">
        <is>
          <t>Merchant Portal</t>
        </is>
      </c>
      <c r="C56" s="31" t="inlineStr">
        <is>
          <t>Merchant Transactions list &amp; CSV Export</t>
        </is>
      </c>
      <c r="D56" s="20" t="inlineStr">
        <is>
          <t>Medium</t>
        </is>
      </c>
      <c r="E56" s="31" t="inlineStr">
        <is>
          <t>On /vortex/portal/transactions.php.</t>
        </is>
      </c>
      <c r="F56" s="31" t="inlineStr">
        <is>
          <t>1. Filter transactions by status 'Success'.
2. Click 'Export to CSV' button.</t>
        </is>
      </c>
      <c r="G56" s="31" t="inlineStr">
        <is>
          <t>Click Export CSV</t>
        </is>
      </c>
      <c r="H56" s="31" t="inlineStr">
        <is>
          <t>CSV file downloads containing only merchant's transactions with headers: ID, Amount, Status, Customer, Created At.</t>
        </is>
      </c>
      <c r="I56" s="20" t="inlineStr">
        <is>
          <t>Not Run</t>
        </is>
      </c>
      <c r="J56" s="31" t="inlineStr"/>
      <c r="K56" s="20" t="inlineStr"/>
      <c r="L56" s="31" t="inlineStr"/>
    </row>
    <row r="57" ht="68" customHeight="1">
      <c r="A57" s="26" t="inlineStr">
        <is>
          <t>TC-PORTAL-07</t>
        </is>
      </c>
      <c r="B57" s="27" t="inlineStr">
        <is>
          <t>Merchant Portal</t>
        </is>
      </c>
      <c r="C57" s="28" t="inlineStr">
        <is>
          <t>Merchant account settings &amp; password change</t>
        </is>
      </c>
      <c r="D57" s="23" t="inlineStr">
        <is>
          <t>Medium</t>
        </is>
      </c>
      <c r="E57" s="28" t="inlineStr">
        <is>
          <t>On /vortex/portal/settings.php.</t>
        </is>
      </c>
      <c r="F57" s="28" t="inlineStr">
        <is>
          <t>1. Enter Current Password, New Password, Confirm New Password.
2. Click 'Update Password'.</t>
        </is>
      </c>
      <c r="G57" s="28" t="inlineStr">
        <is>
          <t>Valid password inputs</t>
        </is>
      </c>
      <c r="H57" s="28" t="inlineStr">
        <is>
          <t>Password hash updated in database with bcrypt cost 12. Success notification displayed.</t>
        </is>
      </c>
      <c r="I57" s="23" t="inlineStr">
        <is>
          <t>Not Run</t>
        </is>
      </c>
      <c r="J57" s="28" t="inlineStr"/>
      <c r="K57" s="23" t="inlineStr"/>
      <c r="L57" s="28" t="inlineStr"/>
    </row>
    <row r="58" ht="68" customHeight="1">
      <c r="A58" s="29" t="inlineStr">
        <is>
          <t>TC-PORTAL-08</t>
        </is>
      </c>
      <c r="B58" s="30" t="inlineStr">
        <is>
          <t>Merchant Portal</t>
        </is>
      </c>
      <c r="C58" s="31" t="inlineStr">
        <is>
          <t>Merchant logout and session clearance</t>
        </is>
      </c>
      <c r="D58" s="20" t="inlineStr">
        <is>
          <t>Medium</t>
        </is>
      </c>
      <c r="E58" s="31" t="inlineStr">
        <is>
          <t>Merchant logged in.</t>
        </is>
      </c>
      <c r="F58" s="31" t="inlineStr">
        <is>
          <t>1. Click Logout button in portal header.
2. Confirm logout.</t>
        </is>
      </c>
      <c r="G58" s="31" t="inlineStr">
        <is>
          <t>Click Logout</t>
        </is>
      </c>
      <c r="H58" s="31" t="inlineStr">
        <is>
          <t>Merchant session destroyed. Redirected to /vortex/portal/login.php. Back button does not show portal pages.</t>
        </is>
      </c>
      <c r="I58" s="20" t="inlineStr">
        <is>
          <t>Not Run</t>
        </is>
      </c>
      <c r="J58" s="31" t="inlineStr"/>
      <c r="K58" s="20" t="inlineStr"/>
      <c r="L58" s="31" t="inlineStr"/>
    </row>
    <row r="59" ht="68" customHeight="1">
      <c r="A59" s="26" t="inlineStr">
        <is>
          <t>TC-AUDIT-01</t>
        </is>
      </c>
      <c r="B59" s="27" t="inlineStr">
        <is>
          <t>Audit Trail</t>
        </is>
      </c>
      <c r="C59" s="28" t="inlineStr">
        <is>
          <t>Audit log chronological display &amp; actor attribution</t>
        </is>
      </c>
      <c r="D59" s="23" t="inlineStr">
        <is>
          <t>High</t>
        </is>
      </c>
      <c r="E59" s="28" t="inlineStr">
        <is>
          <t>Logged in at /vortex/admin/audit_logs.php.</t>
        </is>
      </c>
      <c r="F59" s="28" t="inlineStr">
        <is>
          <t>1. Open Audit Trail page.
2. Verify newest actions appear at top with formatted timestamp, Actor (e.g. 'Admin #1 (admin)'), Action Category, IP Address.</t>
        </is>
      </c>
      <c r="G59" s="28" t="inlineStr">
        <is>
          <t>Audit log table</t>
        </is>
      </c>
      <c r="H59" s="28" t="inlineStr">
        <is>
          <t>Chronological log renders with clear action badges (auth.login, payment.refund, client.create, etc.).</t>
        </is>
      </c>
      <c r="I59" s="23" t="inlineStr">
        <is>
          <t>Not Run</t>
        </is>
      </c>
      <c r="J59" s="28" t="inlineStr"/>
      <c r="K59" s="23" t="inlineStr"/>
      <c r="L59" s="28" t="inlineStr"/>
    </row>
    <row r="60" ht="68" customHeight="1">
      <c r="A60" s="29" t="inlineStr">
        <is>
          <t>TC-AUDIT-02</t>
        </is>
      </c>
      <c r="B60" s="30" t="inlineStr">
        <is>
          <t>Audit Trail</t>
        </is>
      </c>
      <c r="C60" s="31" t="inlineStr">
        <is>
          <t>Filter audit logs by Action Category</t>
        </is>
      </c>
      <c r="D60" s="20" t="inlineStr">
        <is>
          <t>Medium</t>
        </is>
      </c>
      <c r="E60" s="31" t="inlineStr">
        <is>
          <t>On /vortex/admin/audit_logs.php.</t>
        </is>
      </c>
      <c r="F60" s="31" t="inlineStr">
        <is>
          <t>1. Select Category filter: 'payments'.
2. Select Category filter: 'auth'.
3. Click Filter.</t>
        </is>
      </c>
      <c r="G60" s="31" t="inlineStr">
        <is>
          <t>Action category dropdown</t>
        </is>
      </c>
      <c r="H60" s="31" t="inlineStr">
        <is>
          <t>Table displays only entries belonging to selected action category.</t>
        </is>
      </c>
      <c r="I60" s="20" t="inlineStr">
        <is>
          <t>Not Run</t>
        </is>
      </c>
      <c r="J60" s="31" t="inlineStr"/>
      <c r="K60" s="20" t="inlineStr"/>
      <c r="L60" s="31" t="inlineStr"/>
    </row>
    <row r="61" ht="68" customHeight="1">
      <c r="A61" s="26" t="inlineStr">
        <is>
          <t>TC-AUDIT-03</t>
        </is>
      </c>
      <c r="B61" s="27" t="inlineStr">
        <is>
          <t>Audit Trail</t>
        </is>
      </c>
      <c r="C61" s="28" t="inlineStr">
        <is>
          <t>Before/After state JSON diff modal inspection</t>
        </is>
      </c>
      <c r="D61" s="23" t="inlineStr">
        <is>
          <t>High</t>
        </is>
      </c>
      <c r="E61" s="28" t="inlineStr">
        <is>
          <t>Locate an audit record with state changes (e.g. client update or preference change).</t>
        </is>
      </c>
      <c r="F61" s="28" t="inlineStr">
        <is>
          <t>1. Click 'View Changes' button on audit record.
2. Inspect modal showing Old Value vs New Value.</t>
        </is>
      </c>
      <c r="G61" s="28" t="inlineStr">
        <is>
          <t>Click #viewChangesBtn</t>
        </is>
      </c>
      <c r="H61" s="28" t="inlineStr">
        <is>
          <t>Modal displays clean JSON diff highlighting modified attributes. Passwords and secrets are masked as '***REDACTED***'.</t>
        </is>
      </c>
      <c r="I61" s="23" t="inlineStr">
        <is>
          <t>Not Run</t>
        </is>
      </c>
      <c r="J61" s="28" t="inlineStr"/>
      <c r="K61" s="23" t="inlineStr"/>
      <c r="L61" s="28" t="inlineStr"/>
    </row>
    <row r="62" ht="68" customHeight="1">
      <c r="A62" s="29" t="inlineStr">
        <is>
          <t>TC-AUDIT-04</t>
        </is>
      </c>
      <c r="B62" s="30" t="inlineStr">
        <is>
          <t>Audit Trail</t>
        </is>
      </c>
      <c r="C62" s="31" t="inlineStr">
        <is>
          <t>IP address &amp; user-agent tracking accuracy</t>
        </is>
      </c>
      <c r="D62" s="20" t="inlineStr">
        <is>
          <t>Low</t>
        </is>
      </c>
      <c r="E62" s="31" t="inlineStr">
        <is>
          <t>Perform an action (e.g. login or update).</t>
        </is>
      </c>
      <c r="F62" s="31" t="inlineStr">
        <is>
          <t>1. Check the newly created audit record for that action.</t>
        </is>
      </c>
      <c r="G62" s="31" t="inlineStr">
        <is>
          <t>Client IP &amp; User Agent</t>
        </is>
      </c>
      <c r="H62" s="31" t="inlineStr">
        <is>
          <t>Audit record accurately captures the client IP ('127.0.0.1' or proxy IP) and browser user-agent.</t>
        </is>
      </c>
      <c r="I62" s="20" t="inlineStr">
        <is>
          <t>Not Run</t>
        </is>
      </c>
      <c r="J62" s="31" t="inlineStr"/>
      <c r="K62" s="20" t="inlineStr"/>
      <c r="L62" s="31" t="inlineStr"/>
    </row>
    <row r="63" ht="68" customHeight="1">
      <c r="A63" s="26" t="inlineStr">
        <is>
          <t>TC-AUDIT-05</t>
        </is>
      </c>
      <c r="B63" s="27" t="inlineStr">
        <is>
          <t>Audit Trail</t>
        </is>
      </c>
      <c r="C63" s="28" t="inlineStr">
        <is>
          <t>Export Audit Trail to CSV</t>
        </is>
      </c>
      <c r="D63" s="23" t="inlineStr">
        <is>
          <t>Medium</t>
        </is>
      </c>
      <c r="E63" s="28" t="inlineStr">
        <is>
          <t>On /vortex/admin/audit_logs.php.</t>
        </is>
      </c>
      <c r="F63" s="28" t="inlineStr">
        <is>
          <t>1. Click 'Export Audit CSV' button.</t>
        </is>
      </c>
      <c r="G63" s="28" t="inlineStr">
        <is>
          <t>Click Export</t>
        </is>
      </c>
      <c r="H63" s="28" t="inlineStr">
        <is>
          <t>Generates clean CSV download with columns: ID, Timestamp, Actor ID, Actor Type, Action, Target Type, Target ID, IP Address.</t>
        </is>
      </c>
      <c r="I63" s="23" t="inlineStr">
        <is>
          <t>Not Run</t>
        </is>
      </c>
      <c r="J63" s="28" t="inlineStr"/>
      <c r="K63" s="23" t="inlineStr"/>
      <c r="L63" s="28" t="inlineStr"/>
    </row>
    <row r="64" ht="68" customHeight="1">
      <c r="A64" s="29" t="inlineStr">
        <is>
          <t>TC-CONF-01</t>
        </is>
      </c>
      <c r="B64" s="30" t="inlineStr">
        <is>
          <t>Conference Registration</t>
        </is>
      </c>
      <c r="C64" s="31" t="inlineStr">
        <is>
          <t>Registration page loading &amp; fee schedule</t>
        </is>
      </c>
      <c r="D64" s="20" t="inlineStr">
        <is>
          <t>High</t>
        </is>
      </c>
      <c r="E64" s="31" t="inlineStr">
        <is>
          <t>Browser at http://localhost:8080/registration.html.</t>
        </is>
      </c>
      <c r="F64" s="31" t="inlineStr">
        <is>
          <t>1. Open conference registration page.
2. Verify conference title, dates, and registration categories are displayed.</t>
        </is>
      </c>
      <c r="G64" s="31" t="inlineStr">
        <is>
          <t>URL: /registration.html</t>
        </is>
      </c>
      <c r="H64" s="31" t="inlineStr">
        <is>
          <t>Page renders with responsive layout, pricing tiers (Students, Faculty, Industry, International), and clear registration steps.</t>
        </is>
      </c>
      <c r="I64" s="20" t="inlineStr">
        <is>
          <t>Not Run</t>
        </is>
      </c>
      <c r="J64" s="31" t="inlineStr"/>
      <c r="K64" s="20" t="inlineStr"/>
      <c r="L64" s="31" t="inlineStr"/>
    </row>
    <row r="65" ht="68" customHeight="1">
      <c r="A65" s="26" t="inlineStr">
        <is>
          <t>TC-CONF-02</t>
        </is>
      </c>
      <c r="B65" s="27" t="inlineStr">
        <is>
          <t>Conference Registration</t>
        </is>
      </c>
      <c r="C65" s="28" t="inlineStr">
        <is>
          <t>Participant category fee calculation</t>
        </is>
      </c>
      <c r="D65" s="23" t="inlineStr">
        <is>
          <t>High</t>
        </is>
      </c>
      <c r="E65" s="28" t="inlineStr">
        <is>
          <t>On registration form.</t>
        </is>
      </c>
      <c r="F65" s="28" t="inlineStr">
        <is>
          <t>1. Select Participant Type: 'Student / Research Scholar'.
2. Verify fee displays base student amount.
3. Select 'Industry Delegate'.
4. Verify fee updates to industry tier.</t>
        </is>
      </c>
      <c r="G65" s="28" t="inlineStr">
        <is>
          <t>Select dropdown options</t>
        </is>
      </c>
      <c r="H65" s="28" t="inlineStr">
        <is>
          <t>Registration fee recalculates dynamically based on selected participant category and accommodation options.</t>
        </is>
      </c>
      <c r="I65" s="23" t="inlineStr">
        <is>
          <t>Not Run</t>
        </is>
      </c>
      <c r="J65" s="28" t="inlineStr"/>
      <c r="K65" s="23" t="inlineStr"/>
      <c r="L65" s="28" t="inlineStr"/>
    </row>
    <row r="66" ht="68" customHeight="1">
      <c r="A66" s="29" t="inlineStr">
        <is>
          <t>TC-CONF-03</t>
        </is>
      </c>
      <c r="B66" s="30" t="inlineStr">
        <is>
          <t>Conference Registration</t>
        </is>
      </c>
      <c r="C66" s="31" t="inlineStr">
        <is>
          <t>Mandatory fields validation</t>
        </is>
      </c>
      <c r="D66" s="20" t="inlineStr">
        <is>
          <t>Medium</t>
        </is>
      </c>
      <c r="E66" s="31" t="inlineStr">
        <is>
          <t>On registration form.</t>
        </is>
      </c>
      <c r="F66" s="31" t="inlineStr">
        <is>
          <t>1. Leave Name, Email, Phone blank.
2. Click 'Proceed to Payment'.</t>
        </is>
      </c>
      <c r="G66" s="31" t="inlineStr">
        <is>
          <t>Empty form submission</t>
        </is>
      </c>
      <c r="H66" s="31" t="inlineStr">
        <is>
          <t>Browser validation triggers highlighting required inputs. Form will not submit until valid contact details are entered.</t>
        </is>
      </c>
      <c r="I66" s="20" t="inlineStr">
        <is>
          <t>Not Run</t>
        </is>
      </c>
      <c r="J66" s="31" t="inlineStr"/>
      <c r="K66" s="20" t="inlineStr"/>
      <c r="L66" s="31" t="inlineStr"/>
    </row>
    <row r="67" ht="68" customHeight="1">
      <c r="A67" s="26" t="inlineStr">
        <is>
          <t>TC-CONF-04</t>
        </is>
      </c>
      <c r="B67" s="27" t="inlineStr">
        <is>
          <t>Conference Registration</t>
        </is>
      </c>
      <c r="C67" s="28" t="inlineStr">
        <is>
          <t>Payment order initiation via Vortex gateway</t>
        </is>
      </c>
      <c r="D67" s="23" t="inlineStr">
        <is>
          <t>Critical</t>
        </is>
      </c>
      <c r="E67" s="28" t="inlineStr">
        <is>
          <t>Fill registration form with valid test details.</t>
        </is>
      </c>
      <c r="F67" s="28" t="inlineStr">
        <is>
          <t>1. Fill Name: 'Jane Doe', Email: 'jane.doe@example.com', Phone: '9876543210', Category: 'Faculty'.
2. Click 'Proceed to Payment'.</t>
        </is>
      </c>
      <c r="G67" s="28" t="inlineStr">
        <is>
          <t>Valid participant data</t>
        </is>
      </c>
      <c r="H67" s="28" t="inlineStr">
        <is>
          <t>Backend creates order record via Vortex API. Order ID and Razorpay key returned. Razorpay checkout modal / gateway screen opens.</t>
        </is>
      </c>
      <c r="I67" s="23" t="inlineStr">
        <is>
          <t>Not Run</t>
        </is>
      </c>
      <c r="J67" s="28" t="inlineStr"/>
      <c r="K67" s="23" t="inlineStr"/>
      <c r="L67" s="28" t="inlineStr"/>
    </row>
    <row r="68" ht="68" customHeight="1">
      <c r="A68" s="29" t="inlineStr">
        <is>
          <t>TC-CONF-05</t>
        </is>
      </c>
      <c r="B68" s="30" t="inlineStr">
        <is>
          <t>Conference Registration</t>
        </is>
      </c>
      <c r="C68" s="31" t="inlineStr">
        <is>
          <t>Razorpay Checkout modal rendering &amp; test payment</t>
        </is>
      </c>
      <c r="D68" s="20" t="inlineStr">
        <is>
          <t>Critical</t>
        </is>
      </c>
      <c r="E68" s="31" t="inlineStr">
        <is>
          <t>Razorpay checkout modal open.</t>
        </is>
      </c>
      <c r="F68" s="31" t="inlineStr">
        <is>
          <t>1. Verify modal shows Conference Name and exact amount.
2. Select Netbanking / UPI test option.
3. Complete test payment simulation.</t>
        </is>
      </c>
      <c r="G68" s="31" t="inlineStr">
        <is>
          <t>Test payment simulation</t>
        </is>
      </c>
      <c r="H68" s="31" t="inlineStr">
        <is>
          <t>Razorpay processes test authorization and returns payment ID ('pay_...') and signature to callback handler.</t>
        </is>
      </c>
      <c r="I68" s="20" t="inlineStr">
        <is>
          <t>Not Run</t>
        </is>
      </c>
      <c r="J68" s="31" t="inlineStr"/>
      <c r="K68" s="20" t="inlineStr"/>
      <c r="L68" s="31" t="inlineStr"/>
    </row>
    <row r="69" ht="68" customHeight="1">
      <c r="A69" s="26" t="inlineStr">
        <is>
          <t>TC-CONF-06</t>
        </is>
      </c>
      <c r="B69" s="27" t="inlineStr">
        <is>
          <t>Conference Registration</t>
        </is>
      </c>
      <c r="C69" s="28" t="inlineStr">
        <is>
          <t>Payment verification &amp; receipt page display</t>
        </is>
      </c>
      <c r="D69" s="23" t="inlineStr">
        <is>
          <t>Critical</t>
        </is>
      </c>
      <c r="E69" s="28" t="inlineStr">
        <is>
          <t>Payment callback executed.</t>
        </is>
      </c>
      <c r="F69" s="28" t="inlineStr">
        <is>
          <t>1. Observe redirect after payment completion.
2. Verify receipt details on confirmation screen.</t>
        </is>
      </c>
      <c r="G69" s="28" t="inlineStr">
        <is>
          <t>Callback payload with signature</t>
        </is>
      </c>
      <c r="H69" s="28" t="inlineStr">
        <is>
          <t>Backend verifies HMAC-SHA256 signature. Transaction marked 'success'. Confirmation page displays Registration Number, Vortex Txn ID, and printable receipt.</t>
        </is>
      </c>
      <c r="I69" s="23" t="inlineStr">
        <is>
          <t>Not Run</t>
        </is>
      </c>
      <c r="J69" s="28" t="inlineStr"/>
      <c r="K69" s="23" t="inlineStr"/>
      <c r="L69" s="28" t="inlineStr"/>
    </row>
    <row r="70" ht="68" customHeight="1">
      <c r="A70" s="29" t="inlineStr">
        <is>
          <t>TC-CONF-07</t>
        </is>
      </c>
      <c r="B70" s="30" t="inlineStr">
        <is>
          <t>Conference Registration</t>
        </is>
      </c>
      <c r="C70" s="31" t="inlineStr">
        <is>
          <t>Webhook asynchronous confirmation</t>
        </is>
      </c>
      <c r="D70" s="20" t="inlineStr">
        <is>
          <t>High</t>
        </is>
      </c>
      <c r="E70" s="31" t="inlineStr">
        <is>
          <t>Payment succeeded.</t>
        </is>
      </c>
      <c r="F70" s="31" t="inlineStr">
        <is>
          <t>1. Razorpay dispatches 'payment.captured' webhook to /vortex/webhook.php.
2. Verify webhook log.</t>
        </is>
      </c>
      <c r="G70" s="31" t="inlineStr">
        <is>
          <t>POST webhook payload</t>
        </is>
      </c>
      <c r="H70" s="31" t="inlineStr">
        <is>
          <t>Webhook verifies signature, idempotently updates database status, and dispatches merchant notification.</t>
        </is>
      </c>
      <c r="I70" s="20" t="inlineStr">
        <is>
          <t>Not Run</t>
        </is>
      </c>
      <c r="J70" s="31" t="inlineStr"/>
      <c r="K70" s="20" t="inlineStr"/>
      <c r="L70" s="31" t="inlineStr"/>
    </row>
    <row r="71" ht="68" customHeight="1">
      <c r="A71" s="26" t="inlineStr">
        <is>
          <t>TC-CONF-08</t>
        </is>
      </c>
      <c r="B71" s="27" t="inlineStr">
        <is>
          <t>Conference Registration</t>
        </is>
      </c>
      <c r="C71" s="28" t="inlineStr">
        <is>
          <t>Failed payment cancellation handling</t>
        </is>
      </c>
      <c r="D71" s="23" t="inlineStr">
        <is>
          <t>Medium</t>
        </is>
      </c>
      <c r="E71" s="28" t="inlineStr">
        <is>
          <t>Razorpay checkout modal open.</t>
        </is>
      </c>
      <c r="F71" s="28" t="inlineStr">
        <is>
          <t>1. Close modal by clicking 'X' or simulate failed payment.
2. Observe page response.</t>
        </is>
      </c>
      <c r="G71" s="28" t="inlineStr">
        <is>
          <t>Modal dismissed</t>
        </is>
      </c>
      <c r="H71" s="28" t="inlineStr">
        <is>
          <t>Page informs user that payment was cancelled or failed. Offers 'Retry Payment' button without losing previously filled registration details.</t>
        </is>
      </c>
      <c r="I71" s="23" t="inlineStr">
        <is>
          <t>Not Run</t>
        </is>
      </c>
      <c r="J71" s="28" t="inlineStr"/>
      <c r="K71" s="23" t="inlineStr"/>
      <c r="L71" s="28" t="inlineStr"/>
    </row>
    <row r="72" ht="68" customHeight="1">
      <c r="A72" s="29" t="inlineStr">
        <is>
          <t>TC-EVT-01</t>
        </is>
      </c>
      <c r="B72" s="30" t="inlineStr">
        <is>
          <t>Events Management</t>
        </is>
      </c>
      <c r="C72" s="31" t="inlineStr">
        <is>
          <t>Create New Event via Global Modal</t>
        </is>
      </c>
      <c r="D72" s="20" t="inlineStr">
        <is>
          <t>High</t>
        </is>
      </c>
      <c r="E72" s="31" t="inlineStr">
        <is>
          <t>Logged in as Super Admin or Operations Admin.</t>
        </is>
      </c>
      <c r="F72" s="31" t="inlineStr">
        <is>
          <t>1. Click 'New Event' button in sidebar (#sidebarCreateEventBtn) or dashboard action.
2. In modal, enter Event Name: 'International AI Summit 2026'.
3. Enter Department: 'Computer Science'.
4. Enter Start Date and End Date.
5. Click 'Create Event'.</t>
        </is>
      </c>
      <c r="G72" s="31" t="inlineStr">
        <is>
          <t>Event Name: International AI Summit 2026
Dates: Valid future dates</t>
        </is>
      </c>
      <c r="H72" s="31" t="inlineStr">
        <is>
          <t>Modal closes. Event created in database with unique event_code. Success banner displayed. Event appears in Events table.</t>
        </is>
      </c>
      <c r="I72" s="20" t="inlineStr">
        <is>
          <t>Not Run</t>
        </is>
      </c>
      <c r="J72" s="31" t="inlineStr"/>
      <c r="K72" s="20" t="inlineStr"/>
      <c r="L72" s="31" t="inlineStr"/>
    </row>
    <row r="73" ht="68" customHeight="1">
      <c r="A73" s="26" t="inlineStr">
        <is>
          <t>TC-EVT-02</t>
        </is>
      </c>
      <c r="B73" s="27" t="inlineStr">
        <is>
          <t>Events Management</t>
        </is>
      </c>
      <c r="C73" s="28" t="inlineStr">
        <is>
          <t>Events list view &amp; status indicators</t>
        </is>
      </c>
      <c r="D73" s="23" t="inlineStr">
        <is>
          <t>Medium</t>
        </is>
      </c>
      <c r="E73" s="28" t="inlineStr">
        <is>
          <t>Logged in at /vortex/admin/events/index.php.</t>
        </is>
      </c>
      <c r="F73" s="28" t="inlineStr">
        <is>
          <t>1. Open Events management page.
2. Inspect table: Event Code, Name, Department, Dates, Status, Revenue, Actions.</t>
        </is>
      </c>
      <c r="G73" s="28" t="inlineStr">
        <is>
          <t>Events table view</t>
        </is>
      </c>
      <c r="H73" s="28" t="inlineStr">
        <is>
          <t>All events listed with active/inactive status badges, date ranges, and revenue metrics.</t>
        </is>
      </c>
      <c r="I73" s="23" t="inlineStr">
        <is>
          <t>Not Run</t>
        </is>
      </c>
      <c r="J73" s="28" t="inlineStr"/>
      <c r="K73" s="23" t="inlineStr"/>
      <c r="L73" s="28" t="inlineStr"/>
    </row>
    <row r="74" ht="68" customHeight="1">
      <c r="A74" s="29" t="inlineStr">
        <is>
          <t>TC-EVT-03</t>
        </is>
      </c>
      <c r="B74" s="30" t="inlineStr">
        <is>
          <t>Events Management</t>
        </is>
      </c>
      <c r="C74" s="31" t="inlineStr">
        <is>
          <t>Activate / Deactivate Event toggle</t>
        </is>
      </c>
      <c r="D74" s="20" t="inlineStr">
        <is>
          <t>High</t>
        </is>
      </c>
      <c r="E74" s="31" t="inlineStr">
        <is>
          <t>Existing active event in table.</t>
        </is>
      </c>
      <c r="F74" s="31" t="inlineStr">
        <is>
          <t>1. Click 'Deactivate' action on an event.
2. Confirm prompt.
3. Check event status.</t>
        </is>
      </c>
      <c r="G74" s="31" t="inlineStr">
        <is>
          <t>Toggle event status</t>
        </is>
      </c>
      <c r="H74" s="31" t="inlineStr">
        <is>
          <t>Event status toggles to 'Inactive' (is_active=0). Inactive event cannot accept new registrations. Clicking 'Activate' restores active status.</t>
        </is>
      </c>
      <c r="I74" s="20" t="inlineStr">
        <is>
          <t>Not Run</t>
        </is>
      </c>
      <c r="J74" s="31" t="inlineStr"/>
      <c r="K74" s="20" t="inlineStr"/>
      <c r="L74" s="31" t="inlineStr"/>
    </row>
    <row r="75" ht="68" customHeight="1">
      <c r="A75" s="26" t="inlineStr">
        <is>
          <t>TC-EVT-04</t>
        </is>
      </c>
      <c r="B75" s="27" t="inlineStr">
        <is>
          <t>Events Management</t>
        </is>
      </c>
      <c r="C75" s="28" t="inlineStr">
        <is>
          <t>Edit Event details</t>
        </is>
      </c>
      <c r="D75" s="23" t="inlineStr">
        <is>
          <t>Medium</t>
        </is>
      </c>
      <c r="E75" s="28" t="inlineStr">
        <is>
          <t>On /vortex/admin/events/index.php.</t>
        </is>
      </c>
      <c r="F75" s="28" t="inlineStr">
        <is>
          <t>1. Click 'Edit' action on an event.
2. Update Department or Date.
3. Save changes.</t>
        </is>
      </c>
      <c r="G75" s="28" t="inlineStr">
        <is>
          <t>Updated event parameters</t>
        </is>
      </c>
      <c r="H75" s="28" t="inlineStr">
        <is>
          <t>Event details update successfully. Audit log records event update.</t>
        </is>
      </c>
      <c r="I75" s="23" t="inlineStr">
        <is>
          <t>Not Run</t>
        </is>
      </c>
      <c r="J75" s="28" t="inlineStr"/>
      <c r="K75" s="23" t="inlineStr"/>
      <c r="L75" s="28" t="inlineStr"/>
    </row>
    <row r="76" ht="68" customHeight="1">
      <c r="A76" s="29" t="inlineStr">
        <is>
          <t>TC-EVT-05</t>
        </is>
      </c>
      <c r="B76" s="30" t="inlineStr">
        <is>
          <t>Events Management</t>
        </is>
      </c>
      <c r="C76" s="31" t="inlineStr">
        <is>
          <t>Event revenue &amp; participant roll-up accuracy</t>
        </is>
      </c>
      <c r="D76" s="20" t="inlineStr">
        <is>
          <t>Medium</t>
        </is>
      </c>
      <c r="E76" s="31" t="inlineStr">
        <is>
          <t>Event with completed registrations.</t>
        </is>
      </c>
      <c r="F76" s="31" t="inlineStr">
        <is>
          <t>1. Check the 'Revenue' and 'Total Registrations' columns for the event.</t>
        </is>
      </c>
      <c r="G76" s="31" t="inlineStr">
        <is>
          <t>Aggregated transactions</t>
        </is>
      </c>
      <c r="H76" s="31" t="inlineStr">
        <is>
          <t>Numbers match the sum of successful transactions linked to this event code.</t>
        </is>
      </c>
      <c r="I76" s="20" t="inlineStr">
        <is>
          <t>Not Run</t>
        </is>
      </c>
      <c r="J76" s="31" t="inlineStr"/>
      <c r="K76" s="20" t="inlineStr"/>
      <c r="L76" s="31" t="inlineStr"/>
    </row>
    <row r="77" ht="68" customHeight="1">
      <c r="A77" s="26" t="inlineStr">
        <is>
          <t>TC-WHQ-01</t>
        </is>
      </c>
      <c r="B77" s="27" t="inlineStr">
        <is>
          <t>Webhook Retry Queue</t>
        </is>
      </c>
      <c r="C77" s="28" t="inlineStr">
        <is>
          <t>Immediate outbound webhook delivery on payment success</t>
        </is>
      </c>
      <c r="D77" s="23" t="inlineStr">
        <is>
          <t>Critical</t>
        </is>
      </c>
      <c r="E77" s="28" t="inlineStr">
        <is>
          <t>Merchant has valid webhook_url and secret configured.</t>
        </is>
      </c>
      <c r="F77" s="28" t="inlineStr">
        <is>
          <t>1. Complete a successful payment on conference portal or gateway.
2. Gateway triggers Layer 2 client webhook dispatch.
3. Check outbound_webhook_queue table.</t>
        </is>
      </c>
      <c r="G77" s="28" t="inlineStr">
        <is>
          <t>Payment: SUCCESS, Endpoint: HTTP 200</t>
        </is>
      </c>
      <c r="H77" s="28" t="inlineStr">
        <is>
          <t>Payload signed with HMAC-SHA256 (X-Vortex-Signature). Immediate delivery succeeds. Queue record saved with status=DELIVERED, attempts=1, delivered_at=NOW().</t>
        </is>
      </c>
      <c r="I77" s="23" t="inlineStr">
        <is>
          <t>Not Run</t>
        </is>
      </c>
      <c r="J77" s="28" t="inlineStr"/>
      <c r="K77" s="23" t="inlineStr"/>
      <c r="L77" s="28" t="inlineStr"/>
    </row>
    <row r="78" ht="68" customHeight="1">
      <c r="A78" s="29" t="inlineStr">
        <is>
          <t>TC-WHQ-02</t>
        </is>
      </c>
      <c r="B78" s="30" t="inlineStr">
        <is>
          <t>Webhook Retry Queue</t>
        </is>
      </c>
      <c r="C78" s="31" t="inlineStr">
        <is>
          <t>Initial delivery failure enqueues with 3-minute backoff</t>
        </is>
      </c>
      <c r="D78" s="20" t="inlineStr">
        <is>
          <t>Critical</t>
        </is>
      </c>
      <c r="E78" s="31" t="inlineStr">
        <is>
          <t>Merchant webhook endpoint is down or returning HTTP 500 / timeout.</t>
        </is>
      </c>
      <c r="F78" s="31" t="inlineStr">
        <is>
          <t>1. Trigger payment webhook to unreachable URL (e.g. http://localhost:59999).
2. Observe gateway response and queue record.</t>
        </is>
      </c>
      <c r="G78" s="31" t="inlineStr">
        <is>
          <t>Endpoint: Unreachable / 500 error</t>
        </is>
      </c>
      <c r="H78" s="31" t="inlineStr">
        <is>
          <t>Initial delivery fails gracefully without blocking gateway. Queue record created with status=PENDING, attempts=1, and next_attempt_at scheduled exactly 3 minutes later.</t>
        </is>
      </c>
      <c r="I78" s="20" t="inlineStr">
        <is>
          <t>Not Run</t>
        </is>
      </c>
      <c r="J78" s="31" t="inlineStr"/>
      <c r="K78" s="20" t="inlineStr"/>
      <c r="L78" s="31" t="inlineStr"/>
    </row>
    <row r="79" ht="68" customHeight="1">
      <c r="A79" s="26" t="inlineStr">
        <is>
          <t>TC-WHQ-03</t>
        </is>
      </c>
      <c r="B79" s="27" t="inlineStr">
        <is>
          <t>Webhook Retry Queue</t>
        </is>
      </c>
      <c r="C79" s="28" t="inlineStr">
        <is>
          <t>Retry 1 failure reschedules with 9-minute backoff</t>
        </is>
      </c>
      <c r="D79" s="23" t="inlineStr">
        <is>
          <t>High</t>
        </is>
      </c>
      <c r="E79" s="28" t="inlineStr">
        <is>
          <t>Queue item pending with attempts=1.</t>
        </is>
      </c>
      <c r="F79" s="28" t="inlineStr">
        <is>
          <t>1. Run queue worker when next_attempt_at is due (or simulate clock +3m).
2. Endpoint still returns failure.
3. Check updated queue record.</t>
        </is>
      </c>
      <c r="G79" s="28" t="inlineStr">
        <is>
          <t>Worker execution at +3 min</t>
        </is>
      </c>
      <c r="H79" s="28" t="inlineStr">
        <is>
          <t>Attempt counter increments to 2. Status remains PENDING. next_attempt_at is rescheduled 9 minutes after attempt 2.</t>
        </is>
      </c>
      <c r="I79" s="23" t="inlineStr">
        <is>
          <t>Not Run</t>
        </is>
      </c>
      <c r="J79" s="28" t="inlineStr"/>
      <c r="K79" s="23" t="inlineStr"/>
      <c r="L79" s="28" t="inlineStr"/>
    </row>
    <row r="80" ht="68" customHeight="1">
      <c r="A80" s="29" t="inlineStr">
        <is>
          <t>TC-WHQ-04</t>
        </is>
      </c>
      <c r="B80" s="30" t="inlineStr">
        <is>
          <t>Webhook Retry Queue</t>
        </is>
      </c>
      <c r="C80" s="31" t="inlineStr">
        <is>
          <t>Retry 2 failure reschedules with 27-minute backoff</t>
        </is>
      </c>
      <c r="D80" s="20" t="inlineStr">
        <is>
          <t>High</t>
        </is>
      </c>
      <c r="E80" s="31" t="inlineStr">
        <is>
          <t>Queue item pending with attempts=2.</t>
        </is>
      </c>
      <c r="F80" s="31" t="inlineStr">
        <is>
          <t>1. Run queue worker when next_attempt_at is due (at +9m).
2. Endpoint still fails.
3. Check updated queue record.</t>
        </is>
      </c>
      <c r="G80" s="31" t="inlineStr">
        <is>
          <t>Worker execution at +9 min</t>
        </is>
      </c>
      <c r="H80" s="31" t="inlineStr">
        <is>
          <t>Attempt counter increments to 3. Status remains PENDING. next_attempt_at is rescheduled 27 minutes after attempt 3.</t>
        </is>
      </c>
      <c r="I80" s="20" t="inlineStr">
        <is>
          <t>Not Run</t>
        </is>
      </c>
      <c r="J80" s="31" t="inlineStr"/>
      <c r="K80" s="20" t="inlineStr"/>
      <c r="L80" s="31" t="inlineStr"/>
    </row>
    <row r="81" ht="68" customHeight="1">
      <c r="A81" s="26" t="inlineStr">
        <is>
          <t>TC-WHQ-05</t>
        </is>
      </c>
      <c r="B81" s="27" t="inlineStr">
        <is>
          <t>Webhook Retry Queue</t>
        </is>
      </c>
      <c r="C81" s="28" t="inlineStr">
        <is>
          <t>Max attempts exhaustion marks PERMANENTLY_FAILED &amp; alerts Admin</t>
        </is>
      </c>
      <c r="D81" s="23" t="inlineStr">
        <is>
          <t>Critical</t>
        </is>
      </c>
      <c r="E81" s="28" t="inlineStr">
        <is>
          <t>Queue item pending with attempts=3.</t>
        </is>
      </c>
      <c r="F81" s="28" t="inlineStr">
        <is>
          <t>1. Run queue worker when next_attempt_at is due (at +27m).
2. 4th attempt fails.
3. Check queue record and Notification Center.</t>
        </is>
      </c>
      <c r="G81" s="28" t="inlineStr">
        <is>
          <t>Worker execution at +27 min</t>
        </is>
      </c>
      <c r="H81" s="28" t="inlineStr">
        <is>
          <t>Attempts reaches 4 (max_attempts). Status transitions to PERMANENTLY_FAILED. In-App Notification Center raises critical alert: "Outbound Webhook Delivery Permanently Failed".</t>
        </is>
      </c>
      <c r="I81" s="23" t="inlineStr">
        <is>
          <t>Not Run</t>
        </is>
      </c>
      <c r="J81" s="28" t="inlineStr"/>
      <c r="K81" s="23" t="inlineStr"/>
      <c r="L81" s="28" t="inlineStr"/>
    </row>
    <row r="82" ht="68" customHeight="1">
      <c r="A82" s="29" t="inlineStr">
        <is>
          <t>TC-WHQ-06</t>
        </is>
      </c>
      <c r="B82" s="30" t="inlineStr">
        <is>
          <t>Webhook Retry Queue</t>
        </is>
      </c>
      <c r="C82" s="31" t="inlineStr">
        <is>
          <t>Manual Retry action from Admin / Merchant portal</t>
        </is>
      </c>
      <c r="D82" s="20" t="inlineStr">
        <is>
          <t>High</t>
        </is>
      </c>
      <c r="E82" s="31" t="inlineStr">
        <is>
          <t>Queue item in PENDING or PERMANENTLY_FAILED state. Endpoint fixed.</t>
        </is>
      </c>
      <c r="F82" s="31" t="inlineStr">
        <is>
          <t>1. Fix merchant endpoint so it returns HTTP 200.
2. Trigger manual retry on queue item via WebhookQueueService::retryManually().
3. Check queue record.</t>
        </is>
      </c>
      <c r="G82" s="31" t="inlineStr">
        <is>
          <t>Manual retry trigger</t>
        </is>
      </c>
      <c r="H82" s="31" t="inlineStr">
        <is>
          <t>System immediately attempts delivery. Upon HTTP 200, status updates to DELIVERED, delivered_at is recorded, and transaction client_notified_status is synchronized.</t>
        </is>
      </c>
      <c r="I82" s="20" t="inlineStr">
        <is>
          <t>Not Run</t>
        </is>
      </c>
      <c r="J82" s="31" t="inlineStr"/>
      <c r="K82" s="20" t="inlineStr"/>
      <c r="L82" s="31" t="inlineStr"/>
    </row>
    <row r="83" ht="68" customHeight="1">
      <c r="A83" s="26" t="inlineStr">
        <is>
          <t>TC-WHQ-07</t>
        </is>
      </c>
      <c r="B83" s="27" t="inlineStr">
        <is>
          <t>Webhook Retry Queue</t>
        </is>
      </c>
      <c r="C83" s="28" t="inlineStr">
        <is>
          <t>CLI / Cron queue worker execution (process_webhook_queue.php)</t>
        </is>
      </c>
      <c r="D83" s="23" t="inlineStr">
        <is>
          <t>Medium</t>
        </is>
      </c>
      <c r="E83" s="28" t="inlineStr">
        <is>
          <t>Terminal access to project root.</t>
        </is>
      </c>
      <c r="F83" s="28" t="inlineStr">
        <is>
          <t>1. Run command: php vortex/tools/process_webhook_queue.php --limit=20.
2. Observe standard output metrics.</t>
        </is>
      </c>
      <c r="G83" s="28" t="inlineStr">
        <is>
          <t>CLI command execution</t>
        </is>
      </c>
      <c r="H83" s="28" t="inlineStr">
        <is>
          <t>Worker prints clean execution banner with timestamp, Scanned Due Items count, Delivered count, Rescheduled count, and latency in milliseconds. Exit code is 0.</t>
        </is>
      </c>
      <c r="I83" s="23" t="inlineStr">
        <is>
          <t>Not Run</t>
        </is>
      </c>
      <c r="J83" s="28" t="inlineStr"/>
      <c r="K83" s="23" t="inlineStr"/>
      <c r="L83" s="28" t="inlineStr"/>
    </row>
  </sheetData>
  <mergeCells count="2">
    <mergeCell ref="A3:L3"/>
    <mergeCell ref="A1:L2"/>
  </mergeCells>
  <conditionalFormatting sqref="I5:I7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dataValidations count="2">
    <dataValidation sqref="I5:I76" showDropDown="0" showInputMessage="0" showErrorMessage="0" allowBlank="0" type="list">
      <formula1>"Not Run,Pass,Fail,Blocked"</formula1>
    </dataValidation>
    <dataValidation sqref="D5:D76"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2" customWidth="1" min="1" max="1"/>
    <col width="36" customWidth="1" min="2" max="2"/>
    <col width="26" customWidth="1" min="3" max="3"/>
    <col width="24" customWidth="1" min="4" max="4"/>
    <col width="18" customWidth="1" min="5" max="5"/>
    <col width="46" customWidth="1" min="6" max="6"/>
  </cols>
  <sheetData>
    <row r="1">
      <c r="A1" s="1" t="inlineStr">
        <is>
          <t>VORTEX ARCHITECTURE &amp; FEATURE COVERAGE MATRIX</t>
        </is>
      </c>
    </row>
    <row r="2"/>
    <row r="3" ht="26" customHeight="1">
      <c r="A3" s="18" t="inlineStr">
        <is>
          <t>Module / Subsystem</t>
        </is>
      </c>
      <c r="B3" s="18" t="inlineStr">
        <is>
          <t>Primary File / Route</t>
        </is>
      </c>
      <c r="C3" s="18" t="inlineStr">
        <is>
          <t>Target Roles / Actors</t>
        </is>
      </c>
      <c r="D3" s="18" t="inlineStr">
        <is>
          <t>Automated Suite</t>
        </is>
      </c>
      <c r="E3" s="18" t="inlineStr">
        <is>
          <t>Manual QA Status</t>
        </is>
      </c>
      <c r="F3" s="18" t="inlineStr">
        <is>
          <t>Core Capabilities &amp; Security Guards</t>
        </is>
      </c>
    </row>
    <row r="4" ht="26" customHeight="1">
      <c r="A4" s="19" t="inlineStr">
        <is>
          <t>Admin Authentication</t>
        </is>
      </c>
      <c r="B4" s="19" t="inlineStr">
        <is>
          <t>/vortex/admin/login.php</t>
        </is>
      </c>
      <c r="C4" s="20" t="inlineStr">
        <is>
          <t>Super Admin, Ops, Finance, Auditor</t>
        </is>
      </c>
      <c r="D4" s="19" t="inlineStr">
        <is>
          <t>test_authentication.php</t>
        </is>
      </c>
      <c r="E4" s="32" t="inlineStr">
        <is>
          <t>Required</t>
        </is>
      </c>
      <c r="F4" s="33" t="inlineStr">
        <is>
          <t>Session regeneration, timing-safe bcrypt verify, brute force deterrence, auto-redirect</t>
        </is>
      </c>
    </row>
    <row r="5" ht="26" customHeight="1">
      <c r="A5" s="22" t="inlineStr">
        <is>
          <t>RBAC Engine</t>
        </is>
      </c>
      <c r="B5" s="22" t="inlineStr">
        <is>
          <t>/vortex/classes/RBAC.php</t>
        </is>
      </c>
      <c r="C5" s="23" t="inlineStr">
        <is>
          <t>All Admin Roles</t>
        </is>
      </c>
      <c r="D5" s="22" t="inlineStr">
        <is>
          <t>test_rbac.php</t>
        </is>
      </c>
      <c r="E5" s="34" t="inlineStr">
        <is>
          <t>Required</t>
        </is>
      </c>
      <c r="F5" s="35" t="inlineStr">
        <is>
          <t>Granular capability checks (events, payments, clients, audit), dynamic role badges, permission guards</t>
        </is>
      </c>
    </row>
    <row r="6" ht="26" customHeight="1">
      <c r="A6" s="19" t="inlineStr">
        <is>
          <t>Google Dark Mode</t>
        </is>
      </c>
      <c r="B6" s="19" t="inlineStr">
        <is>
          <t>/vortex/admin/assets/css/admin.css</t>
        </is>
      </c>
      <c r="C6" s="20" t="inlineStr">
        <is>
          <t>All Users &amp; Public</t>
        </is>
      </c>
      <c r="D6" s="19" t="inlineStr">
        <is>
          <t>test_dark_mode.php</t>
        </is>
      </c>
      <c r="E6" s="32" t="inlineStr">
        <is>
          <t>Required</t>
        </is>
      </c>
      <c r="F6" s="33" t="inlineStr">
        <is>
          <t>Google Drive palette (#202124), instant anti-FOUC script, borderless cards, cookie/localStorage sync</t>
        </is>
      </c>
    </row>
    <row r="7" ht="26" customHeight="1">
      <c r="A7" s="22" t="inlineStr">
        <is>
          <t>Notification Center</t>
        </is>
      </c>
      <c r="B7" s="22" t="inlineStr">
        <is>
          <t>/vortex/admin/notifications.php</t>
        </is>
      </c>
      <c r="C7" s="23" t="inlineStr">
        <is>
          <t>Admins</t>
        </is>
      </c>
      <c r="D7" s="22" t="inlineStr">
        <is>
          <t>test_notification_center.php</t>
        </is>
      </c>
      <c r="E7" s="34" t="inlineStr">
        <is>
          <t>Required</t>
        </is>
      </c>
      <c r="F7" s="35" t="inlineStr">
        <is>
          <t>Failed webhooks, dispute alerts, high-value txn flags (&gt;₹10k), real-time unread badges, mark-read API</t>
        </is>
      </c>
    </row>
    <row r="8" ht="26" customHeight="1">
      <c r="A8" s="19" t="inlineStr">
        <is>
          <t>Global Omnisearch</t>
        </is>
      </c>
      <c r="B8" s="19" t="inlineStr">
        <is>
          <t>/vortex/admin/search.php</t>
        </is>
      </c>
      <c r="C8" s="20" t="inlineStr">
        <is>
          <t>Admins</t>
        </is>
      </c>
      <c r="D8" s="19" t="inlineStr">
        <is>
          <t>test_global_search.php</t>
        </is>
      </c>
      <c r="E8" s="32" t="inlineStr">
        <is>
          <t>Required</t>
        </is>
      </c>
      <c r="F8" s="33" t="inlineStr">
        <is>
          <t>Omnisearch dropdown, '/' shortcut, multi-entity search (txns, clients, events, emails, Razorpay IDs)</t>
        </is>
      </c>
    </row>
    <row r="9" ht="26" customHeight="1">
      <c r="A9" s="22" t="inlineStr">
        <is>
          <t>Merchant Onboarding</t>
        </is>
      </c>
      <c r="B9" s="22" t="inlineStr">
        <is>
          <t>/vortex/admin/api_clients/onboarding.php</t>
        </is>
      </c>
      <c r="C9" s="23" t="inlineStr">
        <is>
          <t>Super Admin, Ops Admin</t>
        </is>
      </c>
      <c r="D9" s="22" t="inlineStr">
        <is>
          <t>test_client_onboarding.php</t>
        </is>
      </c>
      <c r="E9" s="34" t="inlineStr">
        <is>
          <t>Required</t>
        </is>
      </c>
      <c r="F9" s="35" t="inlineStr">
        <is>
          <t>4-step wizard, dual key generator (Live/Test), webhook ping diagnostic, email/SMS preference setup</t>
        </is>
      </c>
    </row>
    <row r="10" ht="26" customHeight="1">
      <c r="A10" s="19" t="inlineStr">
        <is>
          <t>Transactions &amp; Refunds</t>
        </is>
      </c>
      <c r="B10" s="19" t="inlineStr">
        <is>
          <t>/vortex/admin/payments/list_payments.php</t>
        </is>
      </c>
      <c r="C10" s="20" t="inlineStr">
        <is>
          <t>Super Admin, Finance Officer</t>
        </is>
      </c>
      <c r="D10" s="19" t="inlineStr">
        <is>
          <t>test_payment.php, test_refund.php</t>
        </is>
      </c>
      <c r="E10" s="32" t="inlineStr">
        <is>
          <t>Required</t>
        </is>
      </c>
      <c r="F10" s="33" t="inlineStr">
        <is>
          <t>Full &amp; partial refunds, fee calculation, Razorpay refund API dispatch, reason tracking, customer alerts</t>
        </is>
      </c>
    </row>
    <row r="11" ht="26" customHeight="1">
      <c r="A11" s="22" t="inlineStr">
        <is>
          <t>Merchant Portal</t>
        </is>
      </c>
      <c r="B11" s="22" t="inlineStr">
        <is>
          <t>/vortex/portal/dashboard.php</t>
        </is>
      </c>
      <c r="C11" s="23" t="inlineStr">
        <is>
          <t>API Clients / Merchants</t>
        </is>
      </c>
      <c r="D11" s="22" t="inlineStr">
        <is>
          <t>test_portal.php</t>
        </is>
      </c>
      <c r="E11" s="34" t="inlineStr">
        <is>
          <t>Required</t>
        </is>
      </c>
      <c r="F11" s="35" t="inlineStr">
        <is>
          <t>Self-service analytics, reveal/copy API credentials, secret regeneration, webhook config, CSV exports</t>
        </is>
      </c>
    </row>
    <row r="12" ht="26" customHeight="1">
      <c r="A12" s="19" t="inlineStr">
        <is>
          <t>Audit Trail</t>
        </is>
      </c>
      <c r="B12" s="19" t="inlineStr">
        <is>
          <t>/vortex/admin/audit_logs.php</t>
        </is>
      </c>
      <c r="C12" s="20" t="inlineStr">
        <is>
          <t>Super Admin, Support Auditor</t>
        </is>
      </c>
      <c r="D12" s="19" t="inlineStr">
        <is>
          <t>test_audit_logger.php</t>
        </is>
      </c>
      <c r="E12" s="32" t="inlineStr">
        <is>
          <t>Required</t>
        </is>
      </c>
      <c r="F12" s="33" t="inlineStr">
        <is>
          <t>Tamper-evident logs, actor tracking, IP &amp; User-Agent, before/after JSON diffs, sensitive key masking</t>
        </is>
      </c>
    </row>
    <row r="13" ht="26" customHeight="1">
      <c r="A13" s="22" t="inlineStr">
        <is>
          <t>Conference Engine</t>
        </is>
      </c>
      <c r="B13" s="22" t="inlineStr">
        <is>
          <t>/registration.html, /registration.php</t>
        </is>
      </c>
      <c r="C13" s="23" t="inlineStr">
        <is>
          <t>Delegates, Students, Authors</t>
        </is>
      </c>
      <c r="D13" s="22" t="inlineStr">
        <is>
          <t>test_checkout_session.php</t>
        </is>
      </c>
      <c r="E13" s="34" t="inlineStr">
        <is>
          <t>Required</t>
        </is>
      </c>
      <c r="F13" s="35" t="inlineStr">
        <is>
          <t>Category fee calculations, participant intake, Vortex gateway handoff, Razorpay checkout, receipts</t>
        </is>
      </c>
    </row>
    <row r="14" ht="26" customHeight="1">
      <c r="A14" s="19" t="inlineStr">
        <is>
          <t>Events Management</t>
        </is>
      </c>
      <c r="B14" s="19" t="inlineStr">
        <is>
          <t>/vortex/admin/events/index.php</t>
        </is>
      </c>
      <c r="C14" s="20" t="inlineStr">
        <is>
          <t>Super Admin, Ops Admin</t>
        </is>
      </c>
      <c r="D14" s="19" t="inlineStr">
        <is>
          <t>test_event.php</t>
        </is>
      </c>
      <c r="E14" s="32" t="inlineStr">
        <is>
          <t>Required</t>
        </is>
      </c>
      <c r="F14" s="33" t="inlineStr">
        <is>
          <t>Modal event creation, active/inactive lifecycle, multi-event routing, department revenue aggregation</t>
        </is>
      </c>
    </row>
    <row r="15" ht="26" customHeight="1">
      <c r="A15" s="19" t="inlineStr">
        <is>
          <t>Webhook Retry Queue</t>
        </is>
      </c>
      <c r="B15" s="19" t="inlineStr">
        <is>
          <t>/vortex/classes/WebhookQueueService.php</t>
        </is>
      </c>
      <c r="C15" s="20" t="inlineStr">
        <is>
          <t>System Background, Admin, Merchant</t>
        </is>
      </c>
      <c r="D15" s="19" t="inlineStr">
        <is>
          <t>test_webhook_queue.php</t>
        </is>
      </c>
      <c r="E15" s="32" t="inlineStr">
        <is>
          <t>Required</t>
        </is>
      </c>
      <c r="F15" s="33" t="inlineStr">
        <is>
          <t>Exponential backoff (3, 9, 27 min), atomic row claiming, HMAC signing, CLI worker, permanent failure alerts</t>
        </is>
      </c>
    </row>
  </sheetData>
  <mergeCells count="1">
    <mergeCell ref="A1: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18" customWidth="1" min="1" max="1"/>
    <col width="16" customWidth="1" min="2" max="2"/>
    <col width="32" customWidth="1" min="3" max="3"/>
    <col width="14" customWidth="1" min="4" max="4"/>
    <col width="34" customWidth="1" min="5" max="5"/>
    <col width="30" customWidth="1" min="6" max="6"/>
    <col width="30" customWidth="1" min="7" max="7"/>
    <col width="18" customWidth="1" min="8" max="8"/>
    <col width="14" customWidth="1" min="9" max="9"/>
    <col width="30" customWidth="1" min="10" max="10"/>
  </cols>
  <sheetData>
    <row r="1">
      <c r="A1" s="1" t="inlineStr">
        <is>
          <t>VORTEX QA DEFECT LOG &amp; BUG TRACKING SHEET</t>
        </is>
      </c>
    </row>
    <row r="2"/>
    <row r="3" ht="26" customHeight="1">
      <c r="A3" s="36" t="inlineStr">
        <is>
          <t>Bug ID</t>
        </is>
      </c>
      <c r="B3" s="36" t="inlineStr">
        <is>
          <t>Related Test ID</t>
        </is>
      </c>
      <c r="C3" s="36" t="inlineStr">
        <is>
          <t>Defect Summary / Title</t>
        </is>
      </c>
      <c r="D3" s="36" t="inlineStr">
        <is>
          <t>Severity</t>
        </is>
      </c>
      <c r="E3" s="36" t="inlineStr">
        <is>
          <t>Steps to Reproduce</t>
        </is>
      </c>
      <c r="F3" s="36" t="inlineStr">
        <is>
          <t>Expected Behavior</t>
        </is>
      </c>
      <c r="G3" s="36" t="inlineStr">
        <is>
          <t>Observed Behavior</t>
        </is>
      </c>
      <c r="H3" s="36" t="inlineStr">
        <is>
          <t>Browser / OS</t>
        </is>
      </c>
      <c r="I3" s="36" t="inlineStr">
        <is>
          <t>Defect Status</t>
        </is>
      </c>
      <c r="J3" s="36" t="inlineStr">
        <is>
          <t>Assigned Developer Notes</t>
        </is>
      </c>
    </row>
    <row r="4" ht="42" customHeight="1">
      <c r="A4" s="20" t="inlineStr">
        <is>
          <t>BUG-001 (Resolved)</t>
        </is>
      </c>
      <c r="B4" s="20" t="inlineStr">
        <is>
          <t>TC-NOTIF-01</t>
        </is>
      </c>
      <c r="C4" s="33" t="inlineStr">
        <is>
          <t>Topbar action wrapper missing causing topbar items misalignment</t>
        </is>
      </c>
      <c r="D4" s="20" t="inlineStr">
        <is>
          <t>Major</t>
        </is>
      </c>
      <c r="E4" s="33" t="inlineStr">
        <is>
          <t>1. Open admin dashboard in browser.
2. Observe topbar actions flexbox alignment.</t>
        </is>
      </c>
      <c r="F4" s="33" t="inlineStr">
        <is>
          <t>Topbar items aligned horizontally in a flex container on right.</t>
        </is>
      </c>
      <c r="G4" s="33" t="inlineStr">
        <is>
          <t>Missing &lt;div class='topbar-actions'&gt; caused topbar items to stretch across header.</t>
        </is>
      </c>
      <c r="H4" s="33" t="inlineStr">
        <is>
          <t>Chrome 129 / Linux</t>
        </is>
      </c>
      <c r="I4" s="32" t="inlineStr">
        <is>
          <t>Closed</t>
        </is>
      </c>
      <c r="J4" s="33" t="inlineStr">
        <is>
          <t>Fixed in header.php by restoring topbar-actions wrapper.</t>
        </is>
      </c>
    </row>
    <row r="5" ht="42" customHeight="1">
      <c r="A5" s="20" t="inlineStr">
        <is>
          <t>BUG-002 (Resolved)</t>
        </is>
      </c>
      <c r="B5" s="20" t="inlineStr">
        <is>
          <t>TC-THEME-06</t>
        </is>
      </c>
      <c r="C5" s="33" t="inlineStr">
        <is>
          <t>CSS warning on -webkit-line-clamp without standard line-clamp</t>
        </is>
      </c>
      <c r="D5" s="20" t="inlineStr">
        <is>
          <t>Minor</t>
        </is>
      </c>
      <c r="E5" s="33" t="inlineStr">
        <is>
          <t>1. Inspect admin.css line 556 in editor diagnostics.</t>
        </is>
      </c>
      <c r="F5" s="33" t="inlineStr">
        <is>
          <t>Zero CSS diagnostics or vendor prefix warnings.</t>
        </is>
      </c>
      <c r="G5" s="33" t="inlineStr">
        <is>
          <t>Warning flagged: 'Also define standard property line-clamp for compatibility'.</t>
        </is>
      </c>
      <c r="H5" s="33" t="inlineStr">
        <is>
          <t>VS Code CSS Language Service</t>
        </is>
      </c>
      <c r="I5" s="32" t="inlineStr">
        <is>
          <t>Closed</t>
        </is>
      </c>
      <c r="J5" s="33" t="inlineStr">
        <is>
          <t>Added standard 'line-clamp: 2;' alongside -webkit-line-clamp in admin.css.</t>
        </is>
      </c>
    </row>
    <row r="6" ht="36" customHeight="1">
      <c r="A6" s="37" t="inlineStr"/>
      <c r="B6" s="37" t="inlineStr"/>
      <c r="C6" s="37" t="inlineStr"/>
      <c r="D6" s="37" t="inlineStr"/>
      <c r="E6" s="37" t="inlineStr"/>
      <c r="F6" s="37" t="inlineStr"/>
      <c r="G6" s="37" t="inlineStr"/>
      <c r="H6" s="37" t="inlineStr"/>
      <c r="I6" s="37" t="inlineStr"/>
      <c r="J6" s="37" t="inlineStr"/>
    </row>
    <row r="7" ht="36" customHeight="1">
      <c r="A7" s="38" t="inlineStr"/>
      <c r="B7" s="38" t="inlineStr"/>
      <c r="C7" s="38" t="inlineStr"/>
      <c r="D7" s="38" t="inlineStr"/>
      <c r="E7" s="38" t="inlineStr"/>
      <c r="F7" s="38" t="inlineStr"/>
      <c r="G7" s="38" t="inlineStr"/>
      <c r="H7" s="38" t="inlineStr"/>
      <c r="I7" s="38" t="inlineStr"/>
      <c r="J7" s="38" t="inlineStr"/>
    </row>
    <row r="8" ht="36" customHeight="1">
      <c r="A8" s="37" t="inlineStr"/>
      <c r="B8" s="37" t="inlineStr"/>
      <c r="C8" s="37" t="inlineStr"/>
      <c r="D8" s="37" t="inlineStr"/>
      <c r="E8" s="37" t="inlineStr"/>
      <c r="F8" s="37" t="inlineStr"/>
      <c r="G8" s="37" t="inlineStr"/>
      <c r="H8" s="37" t="inlineStr"/>
      <c r="I8" s="37" t="inlineStr"/>
      <c r="J8" s="37" t="inlineStr"/>
    </row>
    <row r="9" ht="36" customHeight="1">
      <c r="A9" s="38" t="inlineStr"/>
      <c r="B9" s="38" t="inlineStr"/>
      <c r="C9" s="38" t="inlineStr"/>
      <c r="D9" s="38" t="inlineStr"/>
      <c r="E9" s="38" t="inlineStr"/>
      <c r="F9" s="38" t="inlineStr"/>
      <c r="G9" s="38" t="inlineStr"/>
      <c r="H9" s="38" t="inlineStr"/>
      <c r="I9" s="38" t="inlineStr"/>
      <c r="J9" s="38" t="inlineStr"/>
    </row>
    <row r="10" ht="36" customHeight="1">
      <c r="A10" s="37" t="inlineStr"/>
      <c r="B10" s="37" t="inlineStr"/>
      <c r="C10" s="37" t="inlineStr"/>
      <c r="D10" s="37" t="inlineStr"/>
      <c r="E10" s="37" t="inlineStr"/>
      <c r="F10" s="37" t="inlineStr"/>
      <c r="G10" s="37" t="inlineStr"/>
      <c r="H10" s="37" t="inlineStr"/>
      <c r="I10" s="37" t="inlineStr"/>
      <c r="J10" s="37" t="inlineStr"/>
    </row>
    <row r="11" ht="36" customHeight="1">
      <c r="A11" s="38" t="inlineStr"/>
      <c r="B11" s="38" t="inlineStr"/>
      <c r="C11" s="38" t="inlineStr"/>
      <c r="D11" s="38" t="inlineStr"/>
      <c r="E11" s="38" t="inlineStr"/>
      <c r="F11" s="38" t="inlineStr"/>
      <c r="G11" s="38" t="inlineStr"/>
      <c r="H11" s="38" t="inlineStr"/>
      <c r="I11" s="38" t="inlineStr"/>
      <c r="J11" s="38" t="inlineStr"/>
    </row>
    <row r="12" ht="36" customHeight="1">
      <c r="A12" s="37" t="inlineStr"/>
      <c r="B12" s="37" t="inlineStr"/>
      <c r="C12" s="37" t="inlineStr"/>
      <c r="D12" s="37" t="inlineStr"/>
      <c r="E12" s="37" t="inlineStr"/>
      <c r="F12" s="37" t="inlineStr"/>
      <c r="G12" s="37" t="inlineStr"/>
      <c r="H12" s="37" t="inlineStr"/>
      <c r="I12" s="37" t="inlineStr"/>
      <c r="J12" s="37" t="inlineStr"/>
    </row>
    <row r="13" ht="36" customHeight="1">
      <c r="A13" s="38" t="inlineStr"/>
      <c r="B13" s="38" t="inlineStr"/>
      <c r="C13" s="38" t="inlineStr"/>
      <c r="D13" s="38" t="inlineStr"/>
      <c r="E13" s="38" t="inlineStr"/>
      <c r="F13" s="38" t="inlineStr"/>
      <c r="G13" s="38" t="inlineStr"/>
      <c r="H13" s="38" t="inlineStr"/>
      <c r="I13" s="38" t="inlineStr"/>
      <c r="J13" s="38" t="inlineStr"/>
    </row>
    <row r="14" ht="36" customHeight="1">
      <c r="A14" s="37" t="inlineStr"/>
      <c r="B14" s="37" t="inlineStr"/>
      <c r="C14" s="37" t="inlineStr"/>
      <c r="D14" s="37" t="inlineStr"/>
      <c r="E14" s="37" t="inlineStr"/>
      <c r="F14" s="37" t="inlineStr"/>
      <c r="G14" s="37" t="inlineStr"/>
      <c r="H14" s="37" t="inlineStr"/>
      <c r="I14" s="37" t="inlineStr"/>
      <c r="J14" s="37" t="inlineStr"/>
    </row>
    <row r="15" ht="36" customHeight="1">
      <c r="A15" s="38" t="inlineStr"/>
      <c r="B15" s="38" t="inlineStr"/>
      <c r="C15" s="38" t="inlineStr"/>
      <c r="D15" s="38" t="inlineStr"/>
      <c r="E15" s="38" t="inlineStr"/>
      <c r="F15" s="38" t="inlineStr"/>
      <c r="G15" s="38" t="inlineStr"/>
      <c r="H15" s="38" t="inlineStr"/>
      <c r="I15" s="38" t="inlineStr"/>
      <c r="J15" s="38" t="inlineStr"/>
    </row>
    <row r="16" ht="36" customHeight="1">
      <c r="A16" s="37" t="inlineStr"/>
      <c r="B16" s="37" t="inlineStr"/>
      <c r="C16" s="37" t="inlineStr"/>
      <c r="D16" s="37" t="inlineStr"/>
      <c r="E16" s="37" t="inlineStr"/>
      <c r="F16" s="37" t="inlineStr"/>
      <c r="G16" s="37" t="inlineStr"/>
      <c r="H16" s="37" t="inlineStr"/>
      <c r="I16" s="37" t="inlineStr"/>
      <c r="J16" s="37" t="inlineStr"/>
    </row>
    <row r="17" ht="36" customHeight="1">
      <c r="A17" s="38" t="inlineStr"/>
      <c r="B17" s="38" t="inlineStr"/>
      <c r="C17" s="38" t="inlineStr"/>
      <c r="D17" s="38" t="inlineStr"/>
      <c r="E17" s="38" t="inlineStr"/>
      <c r="F17" s="38" t="inlineStr"/>
      <c r="G17" s="38" t="inlineStr"/>
      <c r="H17" s="38" t="inlineStr"/>
      <c r="I17" s="38" t="inlineStr"/>
      <c r="J17" s="38" t="inlineStr"/>
    </row>
    <row r="18" ht="36" customHeight="1">
      <c r="A18" s="37" t="inlineStr"/>
      <c r="B18" s="37" t="inlineStr"/>
      <c r="C18" s="37" t="inlineStr"/>
      <c r="D18" s="37" t="inlineStr"/>
      <c r="E18" s="37" t="inlineStr"/>
      <c r="F18" s="37" t="inlineStr"/>
      <c r="G18" s="37" t="inlineStr"/>
      <c r="H18" s="37" t="inlineStr"/>
      <c r="I18" s="37" t="inlineStr"/>
      <c r="J18" s="37" t="inlineStr"/>
    </row>
    <row r="19" ht="36" customHeight="1">
      <c r="A19" s="38" t="inlineStr"/>
      <c r="B19" s="38" t="inlineStr"/>
      <c r="C19" s="38" t="inlineStr"/>
      <c r="D19" s="38" t="inlineStr"/>
      <c r="E19" s="38" t="inlineStr"/>
      <c r="F19" s="38" t="inlineStr"/>
      <c r="G19" s="38" t="inlineStr"/>
      <c r="H19" s="38" t="inlineStr"/>
      <c r="I19" s="38" t="inlineStr"/>
      <c r="J19" s="38" t="inlineStr"/>
    </row>
    <row r="20" ht="36" customHeight="1">
      <c r="A20" s="37" t="inlineStr"/>
      <c r="B20" s="37" t="inlineStr"/>
      <c r="C20" s="37" t="inlineStr"/>
      <c r="D20" s="37" t="inlineStr"/>
      <c r="E20" s="37" t="inlineStr"/>
      <c r="F20" s="37" t="inlineStr"/>
      <c r="G20" s="37" t="inlineStr"/>
      <c r="H20" s="37" t="inlineStr"/>
      <c r="I20" s="37" t="inlineStr"/>
      <c r="J20" s="37" t="inlineStr"/>
    </row>
    <row r="21" ht="36" customHeight="1">
      <c r="A21" s="38" t="inlineStr"/>
      <c r="B21" s="38" t="inlineStr"/>
      <c r="C21" s="38" t="inlineStr"/>
      <c r="D21" s="38" t="inlineStr"/>
      <c r="E21" s="38" t="inlineStr"/>
      <c r="F21" s="38" t="inlineStr"/>
      <c r="G21" s="38" t="inlineStr"/>
      <c r="H21" s="38" t="inlineStr"/>
      <c r="I21" s="38" t="inlineStr"/>
      <c r="J21" s="38" t="inlineStr"/>
    </row>
    <row r="22" ht="36" customHeight="1">
      <c r="A22" s="37" t="inlineStr"/>
      <c r="B22" s="37" t="inlineStr"/>
      <c r="C22" s="37" t="inlineStr"/>
      <c r="D22" s="37" t="inlineStr"/>
      <c r="E22" s="37" t="inlineStr"/>
      <c r="F22" s="37" t="inlineStr"/>
      <c r="G22" s="37" t="inlineStr"/>
      <c r="H22" s="37" t="inlineStr"/>
      <c r="I22" s="37" t="inlineStr"/>
      <c r="J22" s="37" t="inlineStr"/>
    </row>
    <row r="23" ht="36" customHeight="1">
      <c r="A23" s="38" t="inlineStr"/>
      <c r="B23" s="38" t="inlineStr"/>
      <c r="C23" s="38" t="inlineStr"/>
      <c r="D23" s="38" t="inlineStr"/>
      <c r="E23" s="38" t="inlineStr"/>
      <c r="F23" s="38" t="inlineStr"/>
      <c r="G23" s="38" t="inlineStr"/>
      <c r="H23" s="38" t="inlineStr"/>
      <c r="I23" s="38" t="inlineStr"/>
      <c r="J23" s="38" t="inlineStr"/>
    </row>
    <row r="24" ht="36" customHeight="1">
      <c r="A24" s="37" t="inlineStr"/>
      <c r="B24" s="37" t="inlineStr"/>
      <c r="C24" s="37" t="inlineStr"/>
      <c r="D24" s="37" t="inlineStr"/>
      <c r="E24" s="37" t="inlineStr"/>
      <c r="F24" s="37" t="inlineStr"/>
      <c r="G24" s="37" t="inlineStr"/>
      <c r="H24" s="37" t="inlineStr"/>
      <c r="I24" s="37" t="inlineStr"/>
      <c r="J24" s="37" t="inlineStr"/>
    </row>
    <row r="25" ht="36" customHeight="1">
      <c r="A25" s="38" t="inlineStr"/>
      <c r="B25" s="38" t="inlineStr"/>
      <c r="C25" s="38" t="inlineStr"/>
      <c r="D25" s="38" t="inlineStr"/>
      <c r="E25" s="38" t="inlineStr"/>
      <c r="F25" s="38" t="inlineStr"/>
      <c r="G25" s="38" t="inlineStr"/>
      <c r="H25" s="38" t="inlineStr"/>
      <c r="I25" s="38" t="inlineStr"/>
      <c r="J25" s="38" t="inlineStr"/>
    </row>
    <row r="26" ht="36" customHeight="1">
      <c r="A26" s="37" t="inlineStr"/>
      <c r="B26" s="37" t="inlineStr"/>
      <c r="C26" s="37" t="inlineStr"/>
      <c r="D26" s="37" t="inlineStr"/>
      <c r="E26" s="37" t="inlineStr"/>
      <c r="F26" s="37" t="inlineStr"/>
      <c r="G26" s="37" t="inlineStr"/>
      <c r="H26" s="37" t="inlineStr"/>
      <c r="I26" s="37" t="inlineStr"/>
      <c r="J26" s="37" t="inlineStr"/>
    </row>
    <row r="27" ht="36" customHeight="1">
      <c r="A27" s="38" t="inlineStr"/>
      <c r="B27" s="38" t="inlineStr"/>
      <c r="C27" s="38" t="inlineStr"/>
      <c r="D27" s="38" t="inlineStr"/>
      <c r="E27" s="38" t="inlineStr"/>
      <c r="F27" s="38" t="inlineStr"/>
      <c r="G27" s="38" t="inlineStr"/>
      <c r="H27" s="38" t="inlineStr"/>
      <c r="I27" s="38" t="inlineStr"/>
      <c r="J27" s="38" t="inlineStr"/>
    </row>
    <row r="28" ht="36" customHeight="1">
      <c r="A28" s="37" t="inlineStr"/>
      <c r="B28" s="37" t="inlineStr"/>
      <c r="C28" s="37" t="inlineStr"/>
      <c r="D28" s="37" t="inlineStr"/>
      <c r="E28" s="37" t="inlineStr"/>
      <c r="F28" s="37" t="inlineStr"/>
      <c r="G28" s="37" t="inlineStr"/>
      <c r="H28" s="37" t="inlineStr"/>
      <c r="I28" s="37" t="inlineStr"/>
      <c r="J28" s="37" t="inlineStr"/>
    </row>
    <row r="29" ht="36" customHeight="1">
      <c r="A29" s="38" t="inlineStr"/>
      <c r="B29" s="38" t="inlineStr"/>
      <c r="C29" s="38" t="inlineStr"/>
      <c r="D29" s="38" t="inlineStr"/>
      <c r="E29" s="38" t="inlineStr"/>
      <c r="F29" s="38" t="inlineStr"/>
      <c r="G29" s="38" t="inlineStr"/>
      <c r="H29" s="38" t="inlineStr"/>
      <c r="I29" s="38" t="inlineStr"/>
      <c r="J29" s="38" t="inlineStr"/>
    </row>
  </sheetData>
  <mergeCells count="1">
    <mergeCell ref="A1:J2"/>
  </mergeCells>
  <dataValidations count="2">
    <dataValidation sqref="D4:D30" showDropDown="0" showInputMessage="0" showErrorMessage="0" allowBlank="1" type="list">
      <formula1>"Blocker,Critical,Major,Minor"</formula1>
    </dataValidation>
    <dataValidation sqref="I4:I30" showDropDown="0" showInputMessage="0" showErrorMessage="0" allowBlank="1" type="list">
      <formula1>"New,In Progress,Resolved,Closed,Rejected"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2026-10-17T10:24:35Z</dcterms:created>
  <dcterms:modified xmlns:dcterms="http://purl.org/dc/terms/" xmlns:xsi="http://www.w3.org/2001/XMLSchema-instance" xsi:type="dcterms:W3CDTF">2026-10-17T11:19:30Z</dcterms:modified>
</cp:coreProperties>
</file>